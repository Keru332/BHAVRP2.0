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iza\Downloads\Tesis\Implementacion\BHAVRP\BHAVRP_Java\BHAVRPv2.0\BHAVRP2.0\results\csv\experiment_1\3er_experimento_todos_los_algoritmos\"/>
    </mc:Choice>
  </mc:AlternateContent>
  <xr:revisionPtr revIDLastSave="0" documentId="13_ncr:1_{6D38AD6B-BD45-4AD8-B76F-AC8CEF82DDE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anking_Friedman" sheetId="1" r:id="rId1"/>
    <sheet name="Gráfico_Radar" sheetId="7" r:id="rId2"/>
    <sheet name="Ranking_Cohesión" sheetId="2" r:id="rId3"/>
    <sheet name="Ranking_Separación" sheetId="3" r:id="rId4"/>
    <sheet name="Ranking_Combinadas" sheetId="5" r:id="rId5"/>
    <sheet name="Ranking_Tiempo" sheetId="4" r:id="rId6"/>
    <sheet name="Ranking_Costo" sheetId="8" r:id="rId7"/>
    <sheet name="Metricas_vs_Costo" sheetId="9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9" l="1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23" i="9"/>
  <c r="O31" i="1"/>
  <c r="Q29" i="1"/>
  <c r="O27" i="1"/>
  <c r="O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B46" i="1" s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B60" i="1" s="1"/>
  <c r="AA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Z46" i="1" s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Z60" i="1" s="1"/>
  <c r="Y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X46" i="1" s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X60" i="1" s="1"/>
  <c r="W26" i="1"/>
  <c r="U44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5" i="1"/>
  <c r="U46" i="1"/>
  <c r="V46" i="1" s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V60" i="1" s="1"/>
  <c r="U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T46" i="1" s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T60" i="1" s="1"/>
  <c r="S26" i="1"/>
  <c r="Q30" i="1"/>
  <c r="Q27" i="1"/>
  <c r="Q26" i="1"/>
  <c r="Q28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R46" i="1" s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R60" i="1" s="1"/>
  <c r="O28" i="1"/>
  <c r="O29" i="1"/>
  <c r="O30" i="1"/>
  <c r="O32" i="1"/>
  <c r="O33" i="1"/>
  <c r="O34" i="1"/>
  <c r="P34" i="1" s="1"/>
  <c r="O35" i="1"/>
  <c r="O36" i="1"/>
  <c r="O37" i="1"/>
  <c r="O38" i="1"/>
  <c r="O39" i="1"/>
  <c r="O40" i="1"/>
  <c r="O41" i="1"/>
  <c r="O42" i="1"/>
  <c r="O43" i="1"/>
  <c r="O44" i="1"/>
  <c r="O45" i="1"/>
  <c r="O46" i="1"/>
  <c r="P46" i="1" s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P60" i="1" s="1"/>
  <c r="C74" i="1" s="1"/>
  <c r="AE21" i="1"/>
  <c r="AD21" i="1"/>
  <c r="P21" i="1"/>
  <c r="O21" i="1"/>
  <c r="Z34" i="1" l="1"/>
  <c r="V34" i="1"/>
  <c r="X34" i="1"/>
  <c r="AB34" i="1"/>
  <c r="T56" i="1"/>
  <c r="R34" i="1"/>
  <c r="T34" i="1"/>
  <c r="V56" i="1"/>
  <c r="T58" i="1"/>
  <c r="R26" i="1"/>
  <c r="R36" i="1"/>
  <c r="V32" i="1"/>
  <c r="X32" i="1"/>
  <c r="R32" i="1"/>
  <c r="Z36" i="1"/>
  <c r="T32" i="1"/>
  <c r="Z32" i="1"/>
  <c r="X43" i="1"/>
  <c r="Z26" i="1"/>
  <c r="V52" i="1"/>
  <c r="T39" i="1"/>
  <c r="T43" i="1"/>
  <c r="AB39" i="1"/>
  <c r="T52" i="1"/>
  <c r="AB26" i="1"/>
  <c r="R39" i="1"/>
  <c r="R56" i="1"/>
  <c r="AB36" i="1"/>
  <c r="R58" i="1"/>
  <c r="X26" i="1"/>
  <c r="X36" i="1"/>
  <c r="P56" i="1"/>
  <c r="C72" i="1" s="1"/>
  <c r="V58" i="1"/>
  <c r="X58" i="1"/>
  <c r="P43" i="1"/>
  <c r="C68" i="1" s="1"/>
  <c r="P36" i="1"/>
  <c r="C66" i="1" s="1"/>
  <c r="V26" i="1"/>
  <c r="X56" i="1"/>
  <c r="Z58" i="1"/>
  <c r="V47" i="1"/>
  <c r="V36" i="1"/>
  <c r="V43" i="1"/>
  <c r="AB47" i="1"/>
  <c r="C69" i="1"/>
  <c r="R47" i="1"/>
  <c r="Z56" i="1"/>
  <c r="AB58" i="1"/>
  <c r="C65" i="1"/>
  <c r="X52" i="1"/>
  <c r="Z43" i="1"/>
  <c r="AB56" i="1"/>
  <c r="X39" i="1"/>
  <c r="Z39" i="1"/>
  <c r="Z52" i="1"/>
  <c r="AB43" i="1"/>
  <c r="AB32" i="1"/>
  <c r="T26" i="1"/>
  <c r="X47" i="1"/>
  <c r="Z47" i="1"/>
  <c r="AB52" i="1"/>
  <c r="R43" i="1"/>
  <c r="P39" i="1"/>
  <c r="C67" i="1" s="1"/>
  <c r="R52" i="1"/>
  <c r="T47" i="1"/>
  <c r="T36" i="1"/>
  <c r="V39" i="1"/>
  <c r="P32" i="1"/>
  <c r="C64" i="1" s="1"/>
  <c r="P52" i="1"/>
  <c r="C71" i="1" s="1"/>
  <c r="P47" i="1"/>
  <c r="C70" i="1" s="1"/>
  <c r="P58" i="1"/>
  <c r="C73" i="1" s="1"/>
  <c r="P26" i="1"/>
  <c r="C63" i="1" s="1"/>
</calcChain>
</file>

<file path=xl/sharedStrings.xml><?xml version="1.0" encoding="utf-8"?>
<sst xmlns="http://schemas.openxmlformats.org/spreadsheetml/2006/main" count="648" uniqueCount="67">
  <si>
    <t>Algoritmo</t>
  </si>
  <si>
    <t>SSE</t>
  </si>
  <si>
    <t>BH</t>
  </si>
  <si>
    <t>SSB</t>
  </si>
  <si>
    <t>CH</t>
  </si>
  <si>
    <t>D</t>
  </si>
  <si>
    <t>CS</t>
  </si>
  <si>
    <t>DB</t>
  </si>
  <si>
    <t>XB</t>
  </si>
  <si>
    <t>RT</t>
  </si>
  <si>
    <t>Tiempo</t>
  </si>
  <si>
    <t>BCA</t>
  </si>
  <si>
    <t>BN</t>
  </si>
  <si>
    <t>CLARA</t>
  </si>
  <si>
    <t>CP</t>
  </si>
  <si>
    <t>CA</t>
  </si>
  <si>
    <t>FF</t>
  </si>
  <si>
    <t>KM</t>
  </si>
  <si>
    <t>NC</t>
  </si>
  <si>
    <t>ND</t>
  </si>
  <si>
    <t>PAM</t>
  </si>
  <si>
    <t>P</t>
  </si>
  <si>
    <t>RE</t>
  </si>
  <si>
    <t>RSC</t>
  </si>
  <si>
    <t>SC</t>
  </si>
  <si>
    <t>S</t>
  </si>
  <si>
    <t>SW</t>
  </si>
  <si>
    <t>TCC</t>
  </si>
  <si>
    <t>UPGMC</t>
  </si>
  <si>
    <t>Combinadas</t>
  </si>
  <si>
    <t>(+)</t>
  </si>
  <si>
    <t>(-)</t>
  </si>
  <si>
    <t>Tiempo    (-)</t>
  </si>
  <si>
    <t>Separación    (+)</t>
  </si>
  <si>
    <t>V</t>
  </si>
  <si>
    <t xml:space="preserve">Total: </t>
  </si>
  <si>
    <t>Cohesión                      (-)</t>
  </si>
  <si>
    <t>Cohesión                       (-)</t>
  </si>
  <si>
    <t>Cohesión                         (-)</t>
  </si>
  <si>
    <t>HCA</t>
  </si>
  <si>
    <t>Clúster</t>
  </si>
  <si>
    <t>Cíclicas</t>
  </si>
  <si>
    <t>Urgencia</t>
  </si>
  <si>
    <t>AA</t>
  </si>
  <si>
    <t>Particionales</t>
  </si>
  <si>
    <t>Jerárquicas</t>
  </si>
  <si>
    <t>Otros enfoques</t>
  </si>
  <si>
    <t>Distancias</t>
  </si>
  <si>
    <t>Aleatorias</t>
  </si>
  <si>
    <t>Promedio general</t>
  </si>
  <si>
    <t>Promedio por cohesión</t>
  </si>
  <si>
    <t>Promedio por separación</t>
  </si>
  <si>
    <t>Promedio de combinadas general</t>
  </si>
  <si>
    <t>Promedio de combinadas (+)</t>
  </si>
  <si>
    <t>Promedio de combinadas (-)</t>
  </si>
  <si>
    <t>Promedio por tiempo</t>
  </si>
  <si>
    <t>Por centroides</t>
  </si>
  <si>
    <t>Por medoides</t>
  </si>
  <si>
    <t>Promedio del grupo</t>
  </si>
  <si>
    <t>Top 1</t>
  </si>
  <si>
    <t>Top 3</t>
  </si>
  <si>
    <t>Bottom 3</t>
  </si>
  <si>
    <t>Métrica</t>
  </si>
  <si>
    <t>Grupo</t>
  </si>
  <si>
    <t>Costo</t>
  </si>
  <si>
    <t>Costo          (-)</t>
  </si>
  <si>
    <t>Costo            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</si>
</sst>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8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2" borderId="23" xfId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4" xfId="2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3" borderId="6" xfId="2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" fillId="3" borderId="39" xfId="2" applyBorder="1" applyAlignment="1">
      <alignment horizontal="center" vertical="center"/>
    </xf>
    <xf numFmtId="0" fontId="1" fillId="2" borderId="39" xfId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" fillId="2" borderId="33" xfId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4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3" fillId="0" borderId="53" xfId="0" applyFont="1" applyBorder="1" applyAlignment="1">
      <alignment horizontal="center" vertical="center" wrapText="1"/>
    </xf>
    <xf numFmtId="0" fontId="2" fillId="3" borderId="51" xfId="2" applyBorder="1" applyAlignment="1">
      <alignment horizontal="center" vertical="center"/>
    </xf>
    <xf numFmtId="0" fontId="1" fillId="2" borderId="51" xfId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0" fillId="0" borderId="45" xfId="0" applyBorder="1"/>
    <xf numFmtId="0" fontId="3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3" borderId="29" xfId="2" applyBorder="1" applyAlignment="1">
      <alignment horizontal="center" vertical="center"/>
    </xf>
    <xf numFmtId="0" fontId="2" fillId="3" borderId="55" xfId="2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2" borderId="29" xfId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3" fillId="0" borderId="46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" fillId="2" borderId="40" xfId="1" applyBorder="1" applyAlignment="1">
      <alignment horizontal="center" vertical="center"/>
    </xf>
    <xf numFmtId="0" fontId="2" fillId="3" borderId="0" xfId="2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2" fillId="3" borderId="45" xfId="2" applyBorder="1" applyAlignment="1">
      <alignment horizontal="center" vertical="center"/>
    </xf>
    <xf numFmtId="0" fontId="1" fillId="2" borderId="31" xfId="1" applyBorder="1" applyAlignment="1">
      <alignment horizontal="center" vertical="center"/>
    </xf>
    <xf numFmtId="0" fontId="1" fillId="2" borderId="16" xfId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2" fillId="3" borderId="64" xfId="2" applyBorder="1" applyAlignment="1">
      <alignment horizontal="center" vertical="center"/>
    </xf>
    <xf numFmtId="0" fontId="2" fillId="3" borderId="58" xfId="2" applyBorder="1" applyAlignment="1">
      <alignment horizontal="center" vertical="center"/>
    </xf>
    <xf numFmtId="0" fontId="1" fillId="2" borderId="63" xfId="1" applyBorder="1" applyAlignment="1">
      <alignment horizontal="center" vertical="center"/>
    </xf>
    <xf numFmtId="0" fontId="3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2" borderId="20" xfId="1" applyBorder="1" applyAlignment="1">
      <alignment horizontal="center" vertical="center"/>
    </xf>
    <xf numFmtId="0" fontId="1" fillId="2" borderId="24" xfId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6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1" fillId="2" borderId="35" xfId="1" applyBorder="1" applyAlignment="1">
      <alignment horizontal="center" vertical="center" wrapText="1"/>
    </xf>
    <xf numFmtId="0" fontId="1" fillId="2" borderId="6" xfId="1" applyBorder="1" applyAlignment="1">
      <alignment horizontal="center" vertical="center" wrapText="1"/>
    </xf>
    <xf numFmtId="0" fontId="1" fillId="2" borderId="15" xfId="1" applyBorder="1" applyAlignment="1">
      <alignment horizontal="center" vertical="center" wrapText="1"/>
    </xf>
    <xf numFmtId="0" fontId="2" fillId="3" borderId="10" xfId="2" applyBorder="1" applyAlignment="1">
      <alignment horizontal="center" vertical="center" wrapText="1"/>
    </xf>
    <xf numFmtId="0" fontId="2" fillId="3" borderId="12" xfId="2" applyBorder="1" applyAlignment="1">
      <alignment horizontal="center" vertical="center" wrapText="1"/>
    </xf>
    <xf numFmtId="0" fontId="2" fillId="3" borderId="17" xfId="2" applyBorder="1" applyAlignment="1">
      <alignment horizontal="center" vertical="center" wrapText="1"/>
    </xf>
    <xf numFmtId="0" fontId="3" fillId="0" borderId="70" xfId="0" applyFont="1" applyBorder="1" applyAlignment="1">
      <alignment horizontal="center" vertical="center" wrapText="1"/>
    </xf>
    <xf numFmtId="0" fontId="3" fillId="0" borderId="69" xfId="0" applyFont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0" fillId="0" borderId="25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0" fontId="0" fillId="0" borderId="53" xfId="0" applyBorder="1" applyAlignment="1">
      <alignment horizontal="right" vertical="center"/>
    </xf>
    <xf numFmtId="0" fontId="3" fillId="0" borderId="40" xfId="0" applyFont="1" applyBorder="1" applyAlignment="1">
      <alignment horizontal="center" vertical="center" wrapText="1"/>
    </xf>
    <xf numFmtId="0" fontId="1" fillId="2" borderId="8" xfId="1" applyBorder="1" applyAlignment="1">
      <alignment horizontal="center" vertical="center" wrapText="1"/>
    </xf>
    <xf numFmtId="0" fontId="1" fillId="2" borderId="11" xfId="1" applyBorder="1" applyAlignment="1">
      <alignment horizontal="center" vertical="center" wrapText="1"/>
    </xf>
    <xf numFmtId="0" fontId="1" fillId="2" borderId="21" xfId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7" xfId="0" applyBorder="1" applyAlignment="1">
      <alignment horizontal="right" vertical="center"/>
    </xf>
  </cellXfs>
  <cellStyles count="3">
    <cellStyle name="Bueno" xfId="1" builtinId="26"/>
    <cellStyle name="Incorrec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Gráfico_Radar!$P$3</c:f>
              <c:strCache>
                <c:ptCount val="1"/>
                <c:pt idx="0">
                  <c:v>SSE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Gráfico_Radar!$Q$2:$AF$2</c:f>
              <c:strCache>
                <c:ptCount val="16"/>
                <c:pt idx="0">
                  <c:v>BCA</c:v>
                </c:pt>
                <c:pt idx="1">
                  <c:v>BN</c:v>
                </c:pt>
                <c:pt idx="2">
                  <c:v>CLARA</c:v>
                </c:pt>
                <c:pt idx="3">
                  <c:v>CP</c:v>
                </c:pt>
                <c:pt idx="4">
                  <c:v>CA</c:v>
                </c:pt>
                <c:pt idx="5">
                  <c:v>FF</c:v>
                </c:pt>
                <c:pt idx="6">
                  <c:v>KM</c:v>
                </c:pt>
                <c:pt idx="7">
                  <c:v>NC</c:v>
                </c:pt>
                <c:pt idx="8">
                  <c:v>ND</c:v>
                </c:pt>
                <c:pt idx="9">
                  <c:v>PAM</c:v>
                </c:pt>
                <c:pt idx="10">
                  <c:v>P</c:v>
                </c:pt>
                <c:pt idx="11">
                  <c:v>RE</c:v>
                </c:pt>
                <c:pt idx="12">
                  <c:v>S</c:v>
                </c:pt>
                <c:pt idx="13">
                  <c:v>SW</c:v>
                </c:pt>
                <c:pt idx="14">
                  <c:v>TCC</c:v>
                </c:pt>
                <c:pt idx="15">
                  <c:v>UPGMC</c:v>
                </c:pt>
              </c:strCache>
            </c:strRef>
          </c:cat>
          <c:val>
            <c:numRef>
              <c:f>Gráfico_Radar!$Q$3:$AF$3</c:f>
              <c:numCache>
                <c:formatCode>General</c:formatCode>
                <c:ptCount val="16"/>
                <c:pt idx="0">
                  <c:v>12.75</c:v>
                </c:pt>
                <c:pt idx="1">
                  <c:v>7.125</c:v>
                </c:pt>
                <c:pt idx="2">
                  <c:v>10</c:v>
                </c:pt>
                <c:pt idx="3">
                  <c:v>12.1111</c:v>
                </c:pt>
                <c:pt idx="4">
                  <c:v>14.0556</c:v>
                </c:pt>
                <c:pt idx="5">
                  <c:v>3.4722</c:v>
                </c:pt>
                <c:pt idx="6">
                  <c:v>4.5693999999999999</c:v>
                </c:pt>
                <c:pt idx="7">
                  <c:v>6.9166999999999996</c:v>
                </c:pt>
                <c:pt idx="8">
                  <c:v>10.8889</c:v>
                </c:pt>
                <c:pt idx="9">
                  <c:v>8.9722000000000008</c:v>
                </c:pt>
                <c:pt idx="10">
                  <c:v>6.9166999999999996</c:v>
                </c:pt>
                <c:pt idx="11">
                  <c:v>15.972200000000001</c:v>
                </c:pt>
                <c:pt idx="12">
                  <c:v>6.1111000000000004</c:v>
                </c:pt>
                <c:pt idx="13">
                  <c:v>6.1806000000000001</c:v>
                </c:pt>
                <c:pt idx="14">
                  <c:v>3.4306000000000001</c:v>
                </c:pt>
                <c:pt idx="15">
                  <c:v>6.5278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1-4F03-9503-758E2828F1A6}"/>
            </c:ext>
          </c:extLst>
        </c:ser>
        <c:ser>
          <c:idx val="1"/>
          <c:order val="1"/>
          <c:tx>
            <c:strRef>
              <c:f>Gráfico_Radar!$P$4</c:f>
              <c:strCache>
                <c:ptCount val="1"/>
                <c:pt idx="0">
                  <c:v>BH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Gráfico_Radar!$Q$2:$AF$2</c:f>
              <c:strCache>
                <c:ptCount val="16"/>
                <c:pt idx="0">
                  <c:v>BCA</c:v>
                </c:pt>
                <c:pt idx="1">
                  <c:v>BN</c:v>
                </c:pt>
                <c:pt idx="2">
                  <c:v>CLARA</c:v>
                </c:pt>
                <c:pt idx="3">
                  <c:v>CP</c:v>
                </c:pt>
                <c:pt idx="4">
                  <c:v>CA</c:v>
                </c:pt>
                <c:pt idx="5">
                  <c:v>FF</c:v>
                </c:pt>
                <c:pt idx="6">
                  <c:v>KM</c:v>
                </c:pt>
                <c:pt idx="7">
                  <c:v>NC</c:v>
                </c:pt>
                <c:pt idx="8">
                  <c:v>ND</c:v>
                </c:pt>
                <c:pt idx="9">
                  <c:v>PAM</c:v>
                </c:pt>
                <c:pt idx="10">
                  <c:v>P</c:v>
                </c:pt>
                <c:pt idx="11">
                  <c:v>RE</c:v>
                </c:pt>
                <c:pt idx="12">
                  <c:v>S</c:v>
                </c:pt>
                <c:pt idx="13">
                  <c:v>SW</c:v>
                </c:pt>
                <c:pt idx="14">
                  <c:v>TCC</c:v>
                </c:pt>
                <c:pt idx="15">
                  <c:v>UPGMC</c:v>
                </c:pt>
              </c:strCache>
            </c:strRef>
          </c:cat>
          <c:val>
            <c:numRef>
              <c:f>Gráfico_Radar!$Q$4:$AF$4</c:f>
              <c:numCache>
                <c:formatCode>General</c:formatCode>
                <c:ptCount val="16"/>
                <c:pt idx="0">
                  <c:v>12.527799999999999</c:v>
                </c:pt>
                <c:pt idx="1">
                  <c:v>6.625</c:v>
                </c:pt>
                <c:pt idx="2">
                  <c:v>11.027799999999999</c:v>
                </c:pt>
                <c:pt idx="3">
                  <c:v>9.8332999999999995</c:v>
                </c:pt>
                <c:pt idx="4">
                  <c:v>14.3611</c:v>
                </c:pt>
                <c:pt idx="5">
                  <c:v>5.1943999999999999</c:v>
                </c:pt>
                <c:pt idx="6">
                  <c:v>5.5693999999999999</c:v>
                </c:pt>
                <c:pt idx="7">
                  <c:v>6.3333000000000004</c:v>
                </c:pt>
                <c:pt idx="8">
                  <c:v>11.222200000000001</c:v>
                </c:pt>
                <c:pt idx="9">
                  <c:v>9.1111000000000004</c:v>
                </c:pt>
                <c:pt idx="10">
                  <c:v>6.3333000000000004</c:v>
                </c:pt>
                <c:pt idx="11">
                  <c:v>15.972200000000001</c:v>
                </c:pt>
                <c:pt idx="12">
                  <c:v>5.3888999999999996</c:v>
                </c:pt>
                <c:pt idx="13">
                  <c:v>5.5693999999999999</c:v>
                </c:pt>
                <c:pt idx="14">
                  <c:v>6.4306000000000001</c:v>
                </c:pt>
                <c:pt idx="15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E1-4F03-9503-758E2828F1A6}"/>
            </c:ext>
          </c:extLst>
        </c:ser>
        <c:ser>
          <c:idx val="2"/>
          <c:order val="2"/>
          <c:tx>
            <c:strRef>
              <c:f>Gráfico_Radar!$P$5</c:f>
              <c:strCache>
                <c:ptCount val="1"/>
                <c:pt idx="0">
                  <c:v>SSB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Gráfico_Radar!$Q$2:$AF$2</c:f>
              <c:strCache>
                <c:ptCount val="16"/>
                <c:pt idx="0">
                  <c:v>BCA</c:v>
                </c:pt>
                <c:pt idx="1">
                  <c:v>BN</c:v>
                </c:pt>
                <c:pt idx="2">
                  <c:v>CLARA</c:v>
                </c:pt>
                <c:pt idx="3">
                  <c:v>CP</c:v>
                </c:pt>
                <c:pt idx="4">
                  <c:v>CA</c:v>
                </c:pt>
                <c:pt idx="5">
                  <c:v>FF</c:v>
                </c:pt>
                <c:pt idx="6">
                  <c:v>KM</c:v>
                </c:pt>
                <c:pt idx="7">
                  <c:v>NC</c:v>
                </c:pt>
                <c:pt idx="8">
                  <c:v>ND</c:v>
                </c:pt>
                <c:pt idx="9">
                  <c:v>PAM</c:v>
                </c:pt>
                <c:pt idx="10">
                  <c:v>P</c:v>
                </c:pt>
                <c:pt idx="11">
                  <c:v>RE</c:v>
                </c:pt>
                <c:pt idx="12">
                  <c:v>S</c:v>
                </c:pt>
                <c:pt idx="13">
                  <c:v>SW</c:v>
                </c:pt>
                <c:pt idx="14">
                  <c:v>TCC</c:v>
                </c:pt>
                <c:pt idx="15">
                  <c:v>UPGMC</c:v>
                </c:pt>
              </c:strCache>
            </c:strRef>
          </c:cat>
          <c:val>
            <c:numRef>
              <c:f>Gráfico_Radar!$Q$5:$AF$5</c:f>
              <c:numCache>
                <c:formatCode>General</c:formatCode>
                <c:ptCount val="16"/>
                <c:pt idx="0">
                  <c:v>11.8611</c:v>
                </c:pt>
                <c:pt idx="1">
                  <c:v>7.0416999999999996</c:v>
                </c:pt>
                <c:pt idx="2">
                  <c:v>10.0556</c:v>
                </c:pt>
                <c:pt idx="3">
                  <c:v>9.3056000000000001</c:v>
                </c:pt>
                <c:pt idx="4">
                  <c:v>14.6944</c:v>
                </c:pt>
                <c:pt idx="5">
                  <c:v>4.25</c:v>
                </c:pt>
                <c:pt idx="6">
                  <c:v>5.1257999999999999</c:v>
                </c:pt>
                <c:pt idx="7">
                  <c:v>6.6111000000000004</c:v>
                </c:pt>
                <c:pt idx="8">
                  <c:v>11.666700000000001</c:v>
                </c:pt>
                <c:pt idx="9">
                  <c:v>8.1388999999999996</c:v>
                </c:pt>
                <c:pt idx="10">
                  <c:v>6.6111000000000004</c:v>
                </c:pt>
                <c:pt idx="11">
                  <c:v>16</c:v>
                </c:pt>
                <c:pt idx="12">
                  <c:v>6.2222</c:v>
                </c:pt>
                <c:pt idx="13">
                  <c:v>6.2083000000000004</c:v>
                </c:pt>
                <c:pt idx="14">
                  <c:v>4.7361000000000004</c:v>
                </c:pt>
                <c:pt idx="15">
                  <c:v>7.4443999999999999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E1-4F03-9503-758E2828F1A6}"/>
            </c:ext>
          </c:extLst>
        </c:ser>
        <c:ser>
          <c:idx val="3"/>
          <c:order val="3"/>
          <c:tx>
            <c:strRef>
              <c:f>Gráfico_Radar!$P$6</c:f>
              <c:strCache>
                <c:ptCount val="1"/>
                <c:pt idx="0">
                  <c:v>CH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Gráfico_Radar!$Q$2:$AF$2</c:f>
              <c:strCache>
                <c:ptCount val="16"/>
                <c:pt idx="0">
                  <c:v>BCA</c:v>
                </c:pt>
                <c:pt idx="1">
                  <c:v>BN</c:v>
                </c:pt>
                <c:pt idx="2">
                  <c:v>CLARA</c:v>
                </c:pt>
                <c:pt idx="3">
                  <c:v>CP</c:v>
                </c:pt>
                <c:pt idx="4">
                  <c:v>CA</c:v>
                </c:pt>
                <c:pt idx="5">
                  <c:v>FF</c:v>
                </c:pt>
                <c:pt idx="6">
                  <c:v>KM</c:v>
                </c:pt>
                <c:pt idx="7">
                  <c:v>NC</c:v>
                </c:pt>
                <c:pt idx="8">
                  <c:v>ND</c:v>
                </c:pt>
                <c:pt idx="9">
                  <c:v>PAM</c:v>
                </c:pt>
                <c:pt idx="10">
                  <c:v>P</c:v>
                </c:pt>
                <c:pt idx="11">
                  <c:v>RE</c:v>
                </c:pt>
                <c:pt idx="12">
                  <c:v>S</c:v>
                </c:pt>
                <c:pt idx="13">
                  <c:v>SW</c:v>
                </c:pt>
                <c:pt idx="14">
                  <c:v>TCC</c:v>
                </c:pt>
                <c:pt idx="15">
                  <c:v>UPGMC</c:v>
                </c:pt>
              </c:strCache>
            </c:strRef>
          </c:cat>
          <c:val>
            <c:numRef>
              <c:f>Gráfico_Radar!$Q$6:$AF$6</c:f>
              <c:numCache>
                <c:formatCode>General</c:formatCode>
                <c:ptCount val="16"/>
                <c:pt idx="0">
                  <c:v>12.75</c:v>
                </c:pt>
                <c:pt idx="1">
                  <c:v>7.125</c:v>
                </c:pt>
                <c:pt idx="2">
                  <c:v>9.6388999999999996</c:v>
                </c:pt>
                <c:pt idx="3">
                  <c:v>11.6111</c:v>
                </c:pt>
                <c:pt idx="4">
                  <c:v>14.166700000000001</c:v>
                </c:pt>
                <c:pt idx="5">
                  <c:v>3.4443999999999999</c:v>
                </c:pt>
                <c:pt idx="6">
                  <c:v>4.5138999999999996</c:v>
                </c:pt>
                <c:pt idx="7">
                  <c:v>6.9443999999999999</c:v>
                </c:pt>
                <c:pt idx="8">
                  <c:v>10.972200000000001</c:v>
                </c:pt>
                <c:pt idx="9">
                  <c:v>9.0556000000000001</c:v>
                </c:pt>
                <c:pt idx="10">
                  <c:v>6.9443999999999999</c:v>
                </c:pt>
                <c:pt idx="11">
                  <c:v>16</c:v>
                </c:pt>
                <c:pt idx="12">
                  <c:v>6.0833000000000004</c:v>
                </c:pt>
                <c:pt idx="13">
                  <c:v>6.1528</c:v>
                </c:pt>
                <c:pt idx="14">
                  <c:v>3.3472</c:v>
                </c:pt>
                <c:pt idx="15">
                  <c:v>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E1-4F03-9503-758E2828F1A6}"/>
            </c:ext>
          </c:extLst>
        </c:ser>
        <c:ser>
          <c:idx val="4"/>
          <c:order val="4"/>
          <c:tx>
            <c:strRef>
              <c:f>Gráfico_Radar!$P$7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Gráfico_Radar!$Q$2:$AF$2</c:f>
              <c:strCache>
                <c:ptCount val="16"/>
                <c:pt idx="0">
                  <c:v>BCA</c:v>
                </c:pt>
                <c:pt idx="1">
                  <c:v>BN</c:v>
                </c:pt>
                <c:pt idx="2">
                  <c:v>CLARA</c:v>
                </c:pt>
                <c:pt idx="3">
                  <c:v>CP</c:v>
                </c:pt>
                <c:pt idx="4">
                  <c:v>CA</c:v>
                </c:pt>
                <c:pt idx="5">
                  <c:v>FF</c:v>
                </c:pt>
                <c:pt idx="6">
                  <c:v>KM</c:v>
                </c:pt>
                <c:pt idx="7">
                  <c:v>NC</c:v>
                </c:pt>
                <c:pt idx="8">
                  <c:v>ND</c:v>
                </c:pt>
                <c:pt idx="9">
                  <c:v>PAM</c:v>
                </c:pt>
                <c:pt idx="10">
                  <c:v>P</c:v>
                </c:pt>
                <c:pt idx="11">
                  <c:v>RE</c:v>
                </c:pt>
                <c:pt idx="12">
                  <c:v>S</c:v>
                </c:pt>
                <c:pt idx="13">
                  <c:v>SW</c:v>
                </c:pt>
                <c:pt idx="14">
                  <c:v>TCC</c:v>
                </c:pt>
                <c:pt idx="15">
                  <c:v>UPGMC</c:v>
                </c:pt>
              </c:strCache>
            </c:strRef>
          </c:cat>
          <c:val>
            <c:numRef>
              <c:f>Gráfico_Radar!$Q$7:$AF$7</c:f>
              <c:numCache>
                <c:formatCode>General</c:formatCode>
                <c:ptCount val="16"/>
                <c:pt idx="0">
                  <c:v>8.7777999999999992</c:v>
                </c:pt>
                <c:pt idx="1">
                  <c:v>7.5972</c:v>
                </c:pt>
                <c:pt idx="2">
                  <c:v>10.125</c:v>
                </c:pt>
                <c:pt idx="3">
                  <c:v>7.3888999999999996</c:v>
                </c:pt>
                <c:pt idx="4">
                  <c:v>13.8056</c:v>
                </c:pt>
                <c:pt idx="5">
                  <c:v>5.5833000000000004</c:v>
                </c:pt>
                <c:pt idx="6">
                  <c:v>5.5138999999999996</c:v>
                </c:pt>
                <c:pt idx="7">
                  <c:v>8.5972000000000008</c:v>
                </c:pt>
                <c:pt idx="8">
                  <c:v>12.1389</c:v>
                </c:pt>
                <c:pt idx="9">
                  <c:v>10.1389</c:v>
                </c:pt>
                <c:pt idx="10">
                  <c:v>8.5972000000000008</c:v>
                </c:pt>
                <c:pt idx="11">
                  <c:v>15.652799999999999</c:v>
                </c:pt>
                <c:pt idx="12">
                  <c:v>7.7083000000000004</c:v>
                </c:pt>
                <c:pt idx="13">
                  <c:v>7.4166999999999996</c:v>
                </c:pt>
                <c:pt idx="14">
                  <c:v>5.1388999999999996</c:v>
                </c:pt>
                <c:pt idx="15">
                  <c:v>1.8193999999999999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E1-4F03-9503-758E2828F1A6}"/>
            </c:ext>
          </c:extLst>
        </c:ser>
        <c:ser>
          <c:idx val="5"/>
          <c:order val="5"/>
          <c:tx>
            <c:strRef>
              <c:f>Gráfico_Radar!$P$8</c:f>
              <c:strCache>
                <c:ptCount val="1"/>
                <c:pt idx="0">
                  <c:v>CS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Gráfico_Radar!$Q$2:$AF$2</c:f>
              <c:strCache>
                <c:ptCount val="16"/>
                <c:pt idx="0">
                  <c:v>BCA</c:v>
                </c:pt>
                <c:pt idx="1">
                  <c:v>BN</c:v>
                </c:pt>
                <c:pt idx="2">
                  <c:v>CLARA</c:v>
                </c:pt>
                <c:pt idx="3">
                  <c:v>CP</c:v>
                </c:pt>
                <c:pt idx="4">
                  <c:v>CA</c:v>
                </c:pt>
                <c:pt idx="5">
                  <c:v>FF</c:v>
                </c:pt>
                <c:pt idx="6">
                  <c:v>KM</c:v>
                </c:pt>
                <c:pt idx="7">
                  <c:v>NC</c:v>
                </c:pt>
                <c:pt idx="8">
                  <c:v>ND</c:v>
                </c:pt>
                <c:pt idx="9">
                  <c:v>PAM</c:v>
                </c:pt>
                <c:pt idx="10">
                  <c:v>P</c:v>
                </c:pt>
                <c:pt idx="11">
                  <c:v>RE</c:v>
                </c:pt>
                <c:pt idx="12">
                  <c:v>S</c:v>
                </c:pt>
                <c:pt idx="13">
                  <c:v>SW</c:v>
                </c:pt>
                <c:pt idx="14">
                  <c:v>TCC</c:v>
                </c:pt>
                <c:pt idx="15">
                  <c:v>UPGMC</c:v>
                </c:pt>
              </c:strCache>
            </c:strRef>
          </c:cat>
          <c:val>
            <c:numRef>
              <c:f>Gráfico_Radar!$Q$8:$AF$8</c:f>
              <c:numCache>
                <c:formatCode>General</c:formatCode>
                <c:ptCount val="16"/>
                <c:pt idx="0">
                  <c:v>13.027799999999999</c:v>
                </c:pt>
                <c:pt idx="1">
                  <c:v>6.7361000000000004</c:v>
                </c:pt>
                <c:pt idx="2">
                  <c:v>10</c:v>
                </c:pt>
                <c:pt idx="3">
                  <c:v>11.347200000000001</c:v>
                </c:pt>
                <c:pt idx="4">
                  <c:v>13.972200000000001</c:v>
                </c:pt>
                <c:pt idx="5">
                  <c:v>3.25</c:v>
                </c:pt>
                <c:pt idx="6">
                  <c:v>4.2638999999999996</c:v>
                </c:pt>
                <c:pt idx="7">
                  <c:v>7.3056000000000001</c:v>
                </c:pt>
                <c:pt idx="8">
                  <c:v>10.916700000000001</c:v>
                </c:pt>
                <c:pt idx="9">
                  <c:v>8.4722000000000008</c:v>
                </c:pt>
                <c:pt idx="10">
                  <c:v>7.3056000000000001</c:v>
                </c:pt>
                <c:pt idx="11">
                  <c:v>15.916700000000001</c:v>
                </c:pt>
                <c:pt idx="12">
                  <c:v>6.4722</c:v>
                </c:pt>
                <c:pt idx="13">
                  <c:v>6.4861000000000004</c:v>
                </c:pt>
                <c:pt idx="14">
                  <c:v>3.3472</c:v>
                </c:pt>
                <c:pt idx="15">
                  <c:v>7.1806000000000001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E1-4F03-9503-758E2828F1A6}"/>
            </c:ext>
          </c:extLst>
        </c:ser>
        <c:ser>
          <c:idx val="6"/>
          <c:order val="6"/>
          <c:tx>
            <c:strRef>
              <c:f>Gráfico_Radar!$P$9</c:f>
              <c:strCache>
                <c:ptCount val="1"/>
                <c:pt idx="0">
                  <c:v>DB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Gráfico_Radar!$Q$2:$AF$2</c:f>
              <c:strCache>
                <c:ptCount val="16"/>
                <c:pt idx="0">
                  <c:v>BCA</c:v>
                </c:pt>
                <c:pt idx="1">
                  <c:v>BN</c:v>
                </c:pt>
                <c:pt idx="2">
                  <c:v>CLARA</c:v>
                </c:pt>
                <c:pt idx="3">
                  <c:v>CP</c:v>
                </c:pt>
                <c:pt idx="4">
                  <c:v>CA</c:v>
                </c:pt>
                <c:pt idx="5">
                  <c:v>FF</c:v>
                </c:pt>
                <c:pt idx="6">
                  <c:v>KM</c:v>
                </c:pt>
                <c:pt idx="7">
                  <c:v>NC</c:v>
                </c:pt>
                <c:pt idx="8">
                  <c:v>ND</c:v>
                </c:pt>
                <c:pt idx="9">
                  <c:v>PAM</c:v>
                </c:pt>
                <c:pt idx="10">
                  <c:v>P</c:v>
                </c:pt>
                <c:pt idx="11">
                  <c:v>RE</c:v>
                </c:pt>
                <c:pt idx="12">
                  <c:v>S</c:v>
                </c:pt>
                <c:pt idx="13">
                  <c:v>SW</c:v>
                </c:pt>
                <c:pt idx="14">
                  <c:v>TCC</c:v>
                </c:pt>
                <c:pt idx="15">
                  <c:v>UPGMC</c:v>
                </c:pt>
              </c:strCache>
            </c:strRef>
          </c:cat>
          <c:val>
            <c:numRef>
              <c:f>Gráfico_Radar!$Q$9:$AF$9</c:f>
              <c:numCache>
                <c:formatCode>General</c:formatCode>
                <c:ptCount val="16"/>
                <c:pt idx="0">
                  <c:v>12.1111</c:v>
                </c:pt>
                <c:pt idx="1">
                  <c:v>6.9028</c:v>
                </c:pt>
                <c:pt idx="2">
                  <c:v>11.3611</c:v>
                </c:pt>
                <c:pt idx="3">
                  <c:v>10.166700000000001</c:v>
                </c:pt>
                <c:pt idx="4">
                  <c:v>14.25</c:v>
                </c:pt>
                <c:pt idx="5">
                  <c:v>4.1388999999999996</c:v>
                </c:pt>
                <c:pt idx="6">
                  <c:v>4.5693999999999999</c:v>
                </c:pt>
                <c:pt idx="7">
                  <c:v>6.75</c:v>
                </c:pt>
                <c:pt idx="8">
                  <c:v>11.1944</c:v>
                </c:pt>
                <c:pt idx="9">
                  <c:v>9.2222000000000008</c:v>
                </c:pt>
                <c:pt idx="10">
                  <c:v>6.75</c:v>
                </c:pt>
                <c:pt idx="11">
                  <c:v>15.972200000000001</c:v>
                </c:pt>
                <c:pt idx="12">
                  <c:v>6.0278</c:v>
                </c:pt>
                <c:pt idx="13">
                  <c:v>5.9306000000000001</c:v>
                </c:pt>
                <c:pt idx="14">
                  <c:v>4.5416999999999996</c:v>
                </c:pt>
                <c:pt idx="15">
                  <c:v>6.1111000000000004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E1-4F03-9503-758E2828F1A6}"/>
            </c:ext>
          </c:extLst>
        </c:ser>
        <c:ser>
          <c:idx val="7"/>
          <c:order val="7"/>
          <c:tx>
            <c:strRef>
              <c:f>Gráfico_Radar!$P$10</c:f>
              <c:strCache>
                <c:ptCount val="1"/>
                <c:pt idx="0">
                  <c:v>XB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Gráfico_Radar!$Q$2:$AF$2</c:f>
              <c:strCache>
                <c:ptCount val="16"/>
                <c:pt idx="0">
                  <c:v>BCA</c:v>
                </c:pt>
                <c:pt idx="1">
                  <c:v>BN</c:v>
                </c:pt>
                <c:pt idx="2">
                  <c:v>CLARA</c:v>
                </c:pt>
                <c:pt idx="3">
                  <c:v>CP</c:v>
                </c:pt>
                <c:pt idx="4">
                  <c:v>CA</c:v>
                </c:pt>
                <c:pt idx="5">
                  <c:v>FF</c:v>
                </c:pt>
                <c:pt idx="6">
                  <c:v>KM</c:v>
                </c:pt>
                <c:pt idx="7">
                  <c:v>NC</c:v>
                </c:pt>
                <c:pt idx="8">
                  <c:v>ND</c:v>
                </c:pt>
                <c:pt idx="9">
                  <c:v>PAM</c:v>
                </c:pt>
                <c:pt idx="10">
                  <c:v>P</c:v>
                </c:pt>
                <c:pt idx="11">
                  <c:v>RE</c:v>
                </c:pt>
                <c:pt idx="12">
                  <c:v>S</c:v>
                </c:pt>
                <c:pt idx="13">
                  <c:v>SW</c:v>
                </c:pt>
                <c:pt idx="14">
                  <c:v>TCC</c:v>
                </c:pt>
                <c:pt idx="15">
                  <c:v>UPGMC</c:v>
                </c:pt>
              </c:strCache>
            </c:strRef>
          </c:cat>
          <c:val>
            <c:numRef>
              <c:f>Gráfico_Radar!$Q$10:$AF$10</c:f>
              <c:numCache>
                <c:formatCode>General</c:formatCode>
                <c:ptCount val="16"/>
                <c:pt idx="0">
                  <c:v>12.277799999999999</c:v>
                </c:pt>
                <c:pt idx="1">
                  <c:v>6.9306000000000001</c:v>
                </c:pt>
                <c:pt idx="2">
                  <c:v>10.8056</c:v>
                </c:pt>
                <c:pt idx="3">
                  <c:v>11.277799999999999</c:v>
                </c:pt>
                <c:pt idx="4">
                  <c:v>13.833299999999999</c:v>
                </c:pt>
                <c:pt idx="5">
                  <c:v>3.1943999999999999</c:v>
                </c:pt>
                <c:pt idx="6">
                  <c:v>4.375</c:v>
                </c:pt>
                <c:pt idx="7">
                  <c:v>6.8056000000000001</c:v>
                </c:pt>
                <c:pt idx="8">
                  <c:v>10.8889</c:v>
                </c:pt>
                <c:pt idx="9">
                  <c:v>8.4167000000000005</c:v>
                </c:pt>
                <c:pt idx="10">
                  <c:v>6.8056000000000001</c:v>
                </c:pt>
                <c:pt idx="11">
                  <c:v>15.972200000000001</c:v>
                </c:pt>
                <c:pt idx="12">
                  <c:v>6.1388999999999996</c:v>
                </c:pt>
                <c:pt idx="13">
                  <c:v>6.3193999999999999</c:v>
                </c:pt>
                <c:pt idx="14">
                  <c:v>4.0416999999999996</c:v>
                </c:pt>
                <c:pt idx="15">
                  <c:v>7.9166999999999996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E1-4F03-9503-758E2828F1A6}"/>
            </c:ext>
          </c:extLst>
        </c:ser>
        <c:ser>
          <c:idx val="8"/>
          <c:order val="8"/>
          <c:tx>
            <c:strRef>
              <c:f>Gráfico_Radar!$P$11</c:f>
              <c:strCache>
                <c:ptCount val="1"/>
                <c:pt idx="0">
                  <c:v>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Gráfico_Radar!$Q$2:$AF$2</c:f>
              <c:strCache>
                <c:ptCount val="16"/>
                <c:pt idx="0">
                  <c:v>BCA</c:v>
                </c:pt>
                <c:pt idx="1">
                  <c:v>BN</c:v>
                </c:pt>
                <c:pt idx="2">
                  <c:v>CLARA</c:v>
                </c:pt>
                <c:pt idx="3">
                  <c:v>CP</c:v>
                </c:pt>
                <c:pt idx="4">
                  <c:v>CA</c:v>
                </c:pt>
                <c:pt idx="5">
                  <c:v>FF</c:v>
                </c:pt>
                <c:pt idx="6">
                  <c:v>KM</c:v>
                </c:pt>
                <c:pt idx="7">
                  <c:v>NC</c:v>
                </c:pt>
                <c:pt idx="8">
                  <c:v>ND</c:v>
                </c:pt>
                <c:pt idx="9">
                  <c:v>PAM</c:v>
                </c:pt>
                <c:pt idx="10">
                  <c:v>P</c:v>
                </c:pt>
                <c:pt idx="11">
                  <c:v>RE</c:v>
                </c:pt>
                <c:pt idx="12">
                  <c:v>S</c:v>
                </c:pt>
                <c:pt idx="13">
                  <c:v>SW</c:v>
                </c:pt>
                <c:pt idx="14">
                  <c:v>TCC</c:v>
                </c:pt>
                <c:pt idx="15">
                  <c:v>UPGMC</c:v>
                </c:pt>
              </c:strCache>
            </c:strRef>
          </c:cat>
          <c:val>
            <c:numRef>
              <c:f>Gráfico_Radar!$Q$11:$AF$11</c:f>
              <c:numCache>
                <c:formatCode>General</c:formatCode>
                <c:ptCount val="16"/>
                <c:pt idx="0">
                  <c:v>12.277799999999999</c:v>
                </c:pt>
                <c:pt idx="1">
                  <c:v>6.9306000000000001</c:v>
                </c:pt>
                <c:pt idx="2">
                  <c:v>10.833299999999999</c:v>
                </c:pt>
                <c:pt idx="3">
                  <c:v>11.25</c:v>
                </c:pt>
                <c:pt idx="4">
                  <c:v>13.833299999999999</c:v>
                </c:pt>
                <c:pt idx="5">
                  <c:v>3.1943999999999999</c:v>
                </c:pt>
                <c:pt idx="6">
                  <c:v>4.4028</c:v>
                </c:pt>
                <c:pt idx="7">
                  <c:v>6.8056000000000001</c:v>
                </c:pt>
                <c:pt idx="8">
                  <c:v>10.8889</c:v>
                </c:pt>
                <c:pt idx="9">
                  <c:v>8.4167000000000005</c:v>
                </c:pt>
                <c:pt idx="10">
                  <c:v>6.8056000000000001</c:v>
                </c:pt>
                <c:pt idx="11">
                  <c:v>15.972200000000001</c:v>
                </c:pt>
                <c:pt idx="12">
                  <c:v>6.1388999999999996</c:v>
                </c:pt>
                <c:pt idx="13">
                  <c:v>6.3193999999999999</c:v>
                </c:pt>
                <c:pt idx="14">
                  <c:v>4.0416999999999996</c:v>
                </c:pt>
                <c:pt idx="15">
                  <c:v>7.8888999999999996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E1-4F03-9503-758E2828F1A6}"/>
            </c:ext>
          </c:extLst>
        </c:ser>
        <c:ser>
          <c:idx val="9"/>
          <c:order val="9"/>
          <c:tx>
            <c:strRef>
              <c:f>Gráfico_Radar!$P$12</c:f>
              <c:strCache>
                <c:ptCount val="1"/>
                <c:pt idx="0">
                  <c:v>Tiempo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Gráfico_Radar!$Q$2:$AF$2</c:f>
              <c:strCache>
                <c:ptCount val="16"/>
                <c:pt idx="0">
                  <c:v>BCA</c:v>
                </c:pt>
                <c:pt idx="1">
                  <c:v>BN</c:v>
                </c:pt>
                <c:pt idx="2">
                  <c:v>CLARA</c:v>
                </c:pt>
                <c:pt idx="3">
                  <c:v>CP</c:v>
                </c:pt>
                <c:pt idx="4">
                  <c:v>CA</c:v>
                </c:pt>
                <c:pt idx="5">
                  <c:v>FF</c:v>
                </c:pt>
                <c:pt idx="6">
                  <c:v>KM</c:v>
                </c:pt>
                <c:pt idx="7">
                  <c:v>NC</c:v>
                </c:pt>
                <c:pt idx="8">
                  <c:v>ND</c:v>
                </c:pt>
                <c:pt idx="9">
                  <c:v>PAM</c:v>
                </c:pt>
                <c:pt idx="10">
                  <c:v>P</c:v>
                </c:pt>
                <c:pt idx="11">
                  <c:v>RE</c:v>
                </c:pt>
                <c:pt idx="12">
                  <c:v>S</c:v>
                </c:pt>
                <c:pt idx="13">
                  <c:v>SW</c:v>
                </c:pt>
                <c:pt idx="14">
                  <c:v>TCC</c:v>
                </c:pt>
                <c:pt idx="15">
                  <c:v>UPGMC</c:v>
                </c:pt>
              </c:strCache>
            </c:strRef>
          </c:cat>
          <c:val>
            <c:numRef>
              <c:f>Gráfico_Radar!$Q$12:$AF$12</c:f>
              <c:numCache>
                <c:formatCode>General</c:formatCode>
                <c:ptCount val="16"/>
                <c:pt idx="0">
                  <c:v>5.4443999999999999</c:v>
                </c:pt>
                <c:pt idx="1">
                  <c:v>4.1666999999999996</c:v>
                </c:pt>
                <c:pt idx="2">
                  <c:v>15</c:v>
                </c:pt>
                <c:pt idx="3">
                  <c:v>9.9443999999999999</c:v>
                </c:pt>
                <c:pt idx="4">
                  <c:v>4.1528</c:v>
                </c:pt>
                <c:pt idx="5">
                  <c:v>13.8889</c:v>
                </c:pt>
                <c:pt idx="6">
                  <c:v>13</c:v>
                </c:pt>
                <c:pt idx="7">
                  <c:v>3.7361</c:v>
                </c:pt>
                <c:pt idx="8">
                  <c:v>8.7917000000000005</c:v>
                </c:pt>
                <c:pt idx="9">
                  <c:v>16</c:v>
                </c:pt>
                <c:pt idx="10">
                  <c:v>5.4861000000000004</c:v>
                </c:pt>
                <c:pt idx="11">
                  <c:v>1.7639</c:v>
                </c:pt>
                <c:pt idx="12">
                  <c:v>5.1528</c:v>
                </c:pt>
                <c:pt idx="13">
                  <c:v>6.4443999999999999</c:v>
                </c:pt>
                <c:pt idx="14">
                  <c:v>11.416700000000001</c:v>
                </c:pt>
                <c:pt idx="15">
                  <c:v>11.6111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E1-4F03-9503-758E2828F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471448"/>
        <c:axId val="660471808"/>
      </c:radarChart>
      <c:catAx>
        <c:axId val="66047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471808"/>
        <c:crosses val="autoZero"/>
        <c:auto val="1"/>
        <c:lblAlgn val="ctr"/>
        <c:lblOffset val="100"/>
        <c:noMultiLvlLbl val="0"/>
      </c:catAx>
      <c:valAx>
        <c:axId val="66047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471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755059</xdr:colOff>
      <xdr:row>42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F2F2EB-B940-4F4A-9B64-37CA1501F0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AE80"/>
  <sheetViews>
    <sheetView tabSelected="1" zoomScale="85" zoomScaleNormal="90" workbookViewId="0">
      <selection activeCell="AE28" sqref="AE28"/>
    </sheetView>
  </sheetViews>
  <sheetFormatPr baseColWidth="10" defaultColWidth="9.140625" defaultRowHeight="15" x14ac:dyDescent="0.25"/>
  <cols>
    <col min="2" max="2" width="15.140625" bestFit="1" customWidth="1"/>
    <col min="3" max="3" width="14.140625" customWidth="1"/>
    <col min="6" max="6" width="11.28515625" customWidth="1"/>
    <col min="15" max="15" width="9.140625" customWidth="1"/>
    <col min="17" max="17" width="9.140625" customWidth="1"/>
    <col min="18" max="18" width="14.140625" customWidth="1"/>
    <col min="21" max="21" width="11.28515625" customWidth="1"/>
  </cols>
  <sheetData>
    <row r="1" spans="3:31" ht="15.75" thickBot="1" x14ac:dyDescent="0.3"/>
    <row r="2" spans="3:31" x14ac:dyDescent="0.25">
      <c r="C2" s="174" t="s">
        <v>0</v>
      </c>
      <c r="D2" s="177" t="s">
        <v>37</v>
      </c>
      <c r="E2" s="178"/>
      <c r="F2" s="151" t="s">
        <v>33</v>
      </c>
      <c r="G2" s="181" t="s">
        <v>29</v>
      </c>
      <c r="H2" s="149"/>
      <c r="I2" s="149"/>
      <c r="J2" s="149"/>
      <c r="K2" s="149"/>
      <c r="L2" s="182"/>
      <c r="M2" s="151" t="s">
        <v>32</v>
      </c>
      <c r="N2" s="164" t="s">
        <v>65</v>
      </c>
      <c r="O2" s="171" t="s">
        <v>34</v>
      </c>
      <c r="P2" s="161" t="s">
        <v>5</v>
      </c>
      <c r="R2" s="174" t="s">
        <v>0</v>
      </c>
      <c r="S2" s="142" t="s">
        <v>38</v>
      </c>
      <c r="T2" s="143"/>
      <c r="U2" s="146" t="s">
        <v>33</v>
      </c>
      <c r="V2" s="148" t="s">
        <v>29</v>
      </c>
      <c r="W2" s="149"/>
      <c r="X2" s="149"/>
      <c r="Y2" s="149"/>
      <c r="Z2" s="149"/>
      <c r="AA2" s="150"/>
      <c r="AB2" s="146" t="s">
        <v>32</v>
      </c>
      <c r="AC2" s="164" t="s">
        <v>65</v>
      </c>
      <c r="AD2" s="158" t="s">
        <v>34</v>
      </c>
      <c r="AE2" s="161" t="s">
        <v>5</v>
      </c>
    </row>
    <row r="3" spans="3:31" x14ac:dyDescent="0.25">
      <c r="C3" s="175"/>
      <c r="D3" s="179"/>
      <c r="E3" s="180"/>
      <c r="F3" s="152"/>
      <c r="G3" s="183" t="s">
        <v>30</v>
      </c>
      <c r="H3" s="155"/>
      <c r="I3" s="155"/>
      <c r="J3" s="155" t="s">
        <v>31</v>
      </c>
      <c r="K3" s="155"/>
      <c r="L3" s="184"/>
      <c r="M3" s="152"/>
      <c r="N3" s="165"/>
      <c r="O3" s="172"/>
      <c r="P3" s="162"/>
      <c r="R3" s="175"/>
      <c r="S3" s="144"/>
      <c r="T3" s="145"/>
      <c r="U3" s="147"/>
      <c r="V3" s="154" t="s">
        <v>30</v>
      </c>
      <c r="W3" s="155"/>
      <c r="X3" s="155"/>
      <c r="Y3" s="155" t="s">
        <v>31</v>
      </c>
      <c r="Z3" s="155"/>
      <c r="AA3" s="156"/>
      <c r="AB3" s="147"/>
      <c r="AC3" s="165"/>
      <c r="AD3" s="159"/>
      <c r="AE3" s="162"/>
    </row>
    <row r="4" spans="3:31" ht="15.75" thickBot="1" x14ac:dyDescent="0.3">
      <c r="C4" s="176"/>
      <c r="D4" s="29" t="s">
        <v>1</v>
      </c>
      <c r="E4" s="45" t="s">
        <v>2</v>
      </c>
      <c r="F4" s="36" t="s">
        <v>3</v>
      </c>
      <c r="G4" s="29" t="s">
        <v>4</v>
      </c>
      <c r="H4" s="12" t="s">
        <v>5</v>
      </c>
      <c r="I4" s="12" t="s">
        <v>6</v>
      </c>
      <c r="J4" s="12" t="s">
        <v>7</v>
      </c>
      <c r="K4" s="12" t="s">
        <v>8</v>
      </c>
      <c r="L4" s="45" t="s">
        <v>9</v>
      </c>
      <c r="M4" s="170"/>
      <c r="N4" s="166"/>
      <c r="O4" s="173"/>
      <c r="P4" s="163"/>
      <c r="R4" s="176"/>
      <c r="S4" s="38" t="s">
        <v>1</v>
      </c>
      <c r="T4" s="39" t="s">
        <v>2</v>
      </c>
      <c r="U4" s="41" t="s">
        <v>3</v>
      </c>
      <c r="V4" s="38" t="s">
        <v>4</v>
      </c>
      <c r="W4" s="12" t="s">
        <v>5</v>
      </c>
      <c r="X4" s="12" t="s">
        <v>6</v>
      </c>
      <c r="Y4" s="12" t="s">
        <v>7</v>
      </c>
      <c r="Z4" s="12" t="s">
        <v>8</v>
      </c>
      <c r="AA4" s="39" t="s">
        <v>9</v>
      </c>
      <c r="AB4" s="157"/>
      <c r="AC4" s="166"/>
      <c r="AD4" s="160"/>
      <c r="AE4" s="163"/>
    </row>
    <row r="5" spans="3:31" x14ac:dyDescent="0.25">
      <c r="C5" s="37" t="s">
        <v>11</v>
      </c>
      <c r="D5" s="30">
        <v>12.75</v>
      </c>
      <c r="E5" s="19">
        <v>12.527799999999999</v>
      </c>
      <c r="F5" s="46">
        <v>11.8611</v>
      </c>
      <c r="G5" s="30">
        <v>12.75</v>
      </c>
      <c r="H5" s="10">
        <v>8.7777999999999992</v>
      </c>
      <c r="I5" s="10">
        <v>13.027799999999999</v>
      </c>
      <c r="J5" s="10">
        <v>12.1111</v>
      </c>
      <c r="K5" s="10">
        <v>12.277799999999999</v>
      </c>
      <c r="L5" s="19">
        <v>12.277799999999999</v>
      </c>
      <c r="M5" s="46">
        <v>5.4443999999999999</v>
      </c>
      <c r="N5" s="46">
        <v>3.6943999999999999</v>
      </c>
      <c r="O5" s="24">
        <v>0</v>
      </c>
      <c r="P5" s="11">
        <v>0</v>
      </c>
      <c r="Q5" s="3"/>
      <c r="R5" s="37" t="s">
        <v>11</v>
      </c>
      <c r="S5" s="2">
        <v>14</v>
      </c>
      <c r="T5" s="2">
        <v>14</v>
      </c>
      <c r="U5" s="2">
        <v>14</v>
      </c>
      <c r="V5" s="2">
        <v>14</v>
      </c>
      <c r="W5" s="2">
        <v>11</v>
      </c>
      <c r="X5" s="2">
        <v>14</v>
      </c>
      <c r="Y5" s="2">
        <v>14</v>
      </c>
      <c r="Z5" s="10">
        <v>14</v>
      </c>
      <c r="AA5" s="2">
        <v>14</v>
      </c>
      <c r="AB5" s="20">
        <v>6</v>
      </c>
      <c r="AC5" s="47">
        <v>2</v>
      </c>
      <c r="AD5" s="30">
        <v>0</v>
      </c>
      <c r="AE5" s="11">
        <v>0</v>
      </c>
    </row>
    <row r="6" spans="3:31" x14ac:dyDescent="0.25">
      <c r="C6" s="35" t="s">
        <v>12</v>
      </c>
      <c r="D6" s="31">
        <v>7.125</v>
      </c>
      <c r="E6" s="20">
        <v>6.625</v>
      </c>
      <c r="F6" s="47">
        <v>7.0416999999999996</v>
      </c>
      <c r="G6" s="31">
        <v>7.125</v>
      </c>
      <c r="H6" s="2">
        <v>7.5972</v>
      </c>
      <c r="I6" s="2">
        <v>6.7361000000000004</v>
      </c>
      <c r="J6" s="2">
        <v>6.9028</v>
      </c>
      <c r="K6" s="2">
        <v>6.9306000000000001</v>
      </c>
      <c r="L6" s="20">
        <v>6.9306000000000001</v>
      </c>
      <c r="M6" s="47">
        <v>4.1666999999999996</v>
      </c>
      <c r="N6" s="47">
        <v>6.3056000000000001</v>
      </c>
      <c r="O6" s="25">
        <v>0</v>
      </c>
      <c r="P6" s="6">
        <v>0</v>
      </c>
      <c r="Q6" s="3"/>
      <c r="R6" s="35" t="s">
        <v>12</v>
      </c>
      <c r="S6" s="2">
        <v>9</v>
      </c>
      <c r="T6" s="2">
        <v>9</v>
      </c>
      <c r="U6" s="2">
        <v>8</v>
      </c>
      <c r="V6" s="2">
        <v>8</v>
      </c>
      <c r="W6" s="2">
        <v>7</v>
      </c>
      <c r="X6" s="2">
        <v>6</v>
      </c>
      <c r="Y6" s="2">
        <v>9</v>
      </c>
      <c r="Z6" s="2">
        <v>8</v>
      </c>
      <c r="AA6" s="2">
        <v>8</v>
      </c>
      <c r="AB6" s="20">
        <v>4</v>
      </c>
      <c r="AC6" s="47">
        <v>3</v>
      </c>
      <c r="AD6" s="31">
        <v>0</v>
      </c>
      <c r="AE6" s="6">
        <v>0</v>
      </c>
    </row>
    <row r="7" spans="3:31" x14ac:dyDescent="0.25">
      <c r="C7" s="35" t="s">
        <v>13</v>
      </c>
      <c r="D7" s="31">
        <v>10</v>
      </c>
      <c r="E7" s="20">
        <v>11.027799999999999</v>
      </c>
      <c r="F7" s="47">
        <v>10.0556</v>
      </c>
      <c r="G7" s="31">
        <v>9.6388999999999996</v>
      </c>
      <c r="H7" s="2">
        <v>10.125</v>
      </c>
      <c r="I7" s="2">
        <v>10</v>
      </c>
      <c r="J7" s="2">
        <v>11.3611</v>
      </c>
      <c r="K7" s="2">
        <v>10.8056</v>
      </c>
      <c r="L7" s="20">
        <v>10.833299999999999</v>
      </c>
      <c r="M7" s="47">
        <v>15</v>
      </c>
      <c r="N7" s="47">
        <v>11</v>
      </c>
      <c r="O7" s="25">
        <v>0</v>
      </c>
      <c r="P7" s="6">
        <v>0</v>
      </c>
      <c r="Q7" s="3"/>
      <c r="R7" s="35" t="s">
        <v>13</v>
      </c>
      <c r="S7" s="2">
        <v>11</v>
      </c>
      <c r="T7" s="2">
        <v>12</v>
      </c>
      <c r="U7" s="2">
        <v>12</v>
      </c>
      <c r="V7" s="2">
        <v>11</v>
      </c>
      <c r="W7" s="2">
        <v>12</v>
      </c>
      <c r="X7" s="2">
        <v>11</v>
      </c>
      <c r="Y7" s="2">
        <v>13</v>
      </c>
      <c r="Z7" s="2">
        <v>12</v>
      </c>
      <c r="AA7" s="2">
        <v>11</v>
      </c>
      <c r="AB7" s="20">
        <v>15</v>
      </c>
      <c r="AC7" s="47">
        <v>12</v>
      </c>
      <c r="AD7" s="31">
        <v>0</v>
      </c>
      <c r="AE7" s="6">
        <v>0</v>
      </c>
    </row>
    <row r="8" spans="3:31" x14ac:dyDescent="0.25">
      <c r="C8" s="35" t="s">
        <v>14</v>
      </c>
      <c r="D8" s="31">
        <v>12.1111</v>
      </c>
      <c r="E8" s="20">
        <v>9.8332999999999995</v>
      </c>
      <c r="F8" s="47">
        <v>9.3056000000000001</v>
      </c>
      <c r="G8" s="31">
        <v>11.6111</v>
      </c>
      <c r="H8" s="2">
        <v>7.3888999999999996</v>
      </c>
      <c r="I8" s="2">
        <v>11.347200000000001</v>
      </c>
      <c r="J8" s="2">
        <v>10.166700000000001</v>
      </c>
      <c r="K8" s="2">
        <v>11.277799999999999</v>
      </c>
      <c r="L8" s="20">
        <v>11.25</v>
      </c>
      <c r="M8" s="47">
        <v>9.9443999999999999</v>
      </c>
      <c r="N8" s="47">
        <v>8.2222000000000008</v>
      </c>
      <c r="O8" s="25">
        <v>0</v>
      </c>
      <c r="P8" s="6">
        <v>0</v>
      </c>
      <c r="Q8" s="3"/>
      <c r="R8" s="35" t="s">
        <v>14</v>
      </c>
      <c r="S8" s="2">
        <v>13</v>
      </c>
      <c r="T8" s="2">
        <v>11</v>
      </c>
      <c r="U8" s="2">
        <v>11</v>
      </c>
      <c r="V8" s="2">
        <v>13</v>
      </c>
      <c r="W8" s="2">
        <v>5</v>
      </c>
      <c r="X8" s="2">
        <v>13</v>
      </c>
      <c r="Y8" s="2">
        <v>11</v>
      </c>
      <c r="Z8" s="2">
        <v>13</v>
      </c>
      <c r="AA8" s="2">
        <v>13</v>
      </c>
      <c r="AB8" s="20">
        <v>10</v>
      </c>
      <c r="AC8" s="47">
        <v>7</v>
      </c>
      <c r="AD8" s="31">
        <v>0</v>
      </c>
      <c r="AE8" s="6">
        <v>0</v>
      </c>
    </row>
    <row r="9" spans="3:31" x14ac:dyDescent="0.25">
      <c r="C9" s="35" t="s">
        <v>15</v>
      </c>
      <c r="D9" s="31">
        <v>14.0556</v>
      </c>
      <c r="E9" s="20">
        <v>14.3611</v>
      </c>
      <c r="F9" s="47">
        <v>14.6944</v>
      </c>
      <c r="G9" s="31">
        <v>14.166700000000001</v>
      </c>
      <c r="H9" s="2">
        <v>13.8056</v>
      </c>
      <c r="I9" s="2">
        <v>13.972200000000001</v>
      </c>
      <c r="J9" s="2">
        <v>14.25</v>
      </c>
      <c r="K9" s="2">
        <v>13.833299999999999</v>
      </c>
      <c r="L9" s="20">
        <v>13.833299999999999</v>
      </c>
      <c r="M9" s="47">
        <v>4.1528</v>
      </c>
      <c r="N9" s="47">
        <v>6.6388999999999996</v>
      </c>
      <c r="O9" s="25">
        <v>0</v>
      </c>
      <c r="P9" s="6">
        <v>0</v>
      </c>
      <c r="Q9" s="3"/>
      <c r="R9" s="35" t="s">
        <v>15</v>
      </c>
      <c r="S9" s="2">
        <v>15</v>
      </c>
      <c r="T9" s="2">
        <v>15</v>
      </c>
      <c r="U9" s="2">
        <v>15</v>
      </c>
      <c r="V9" s="2">
        <v>15</v>
      </c>
      <c r="W9" s="2">
        <v>15</v>
      </c>
      <c r="X9" s="2">
        <v>15</v>
      </c>
      <c r="Y9" s="2">
        <v>15</v>
      </c>
      <c r="Z9" s="2">
        <v>15</v>
      </c>
      <c r="AA9" s="2">
        <v>15</v>
      </c>
      <c r="AB9" s="20">
        <v>3</v>
      </c>
      <c r="AC9" s="47">
        <v>4</v>
      </c>
      <c r="AD9" s="31">
        <v>0</v>
      </c>
      <c r="AE9" s="6">
        <v>0</v>
      </c>
    </row>
    <row r="10" spans="3:31" x14ac:dyDescent="0.25">
      <c r="C10" s="35" t="s">
        <v>16</v>
      </c>
      <c r="D10" s="31">
        <v>3.4722</v>
      </c>
      <c r="E10" s="20">
        <v>5.1943999999999999</v>
      </c>
      <c r="F10" s="49">
        <v>4.25</v>
      </c>
      <c r="G10" s="31">
        <v>3.4443999999999999</v>
      </c>
      <c r="H10" s="2">
        <v>5.5833000000000004</v>
      </c>
      <c r="I10" s="4">
        <v>3.25</v>
      </c>
      <c r="J10" s="4">
        <v>4.1388999999999996</v>
      </c>
      <c r="K10" s="4">
        <v>3.1943999999999999</v>
      </c>
      <c r="L10" s="22">
        <v>3.1943999999999999</v>
      </c>
      <c r="M10" s="47">
        <v>13.8889</v>
      </c>
      <c r="N10" s="47">
        <v>10.6111</v>
      </c>
      <c r="O10" s="25">
        <v>4</v>
      </c>
      <c r="P10" s="6">
        <v>0</v>
      </c>
      <c r="Q10" s="3"/>
      <c r="R10" s="35" t="s">
        <v>16</v>
      </c>
      <c r="S10" s="2">
        <v>2</v>
      </c>
      <c r="T10" s="2">
        <v>2</v>
      </c>
      <c r="U10" s="4">
        <v>1</v>
      </c>
      <c r="V10" s="2">
        <v>2</v>
      </c>
      <c r="W10" s="2">
        <v>4</v>
      </c>
      <c r="X10" s="4">
        <v>1</v>
      </c>
      <c r="Y10" s="4">
        <v>1</v>
      </c>
      <c r="Z10" s="4">
        <v>1</v>
      </c>
      <c r="AA10" s="4">
        <v>1</v>
      </c>
      <c r="AB10" s="20">
        <v>14</v>
      </c>
      <c r="AC10" s="47">
        <v>11</v>
      </c>
      <c r="AD10" s="31">
        <v>5</v>
      </c>
      <c r="AE10" s="6">
        <v>0</v>
      </c>
    </row>
    <row r="11" spans="3:31" x14ac:dyDescent="0.25">
      <c r="C11" s="35" t="s">
        <v>17</v>
      </c>
      <c r="D11" s="31">
        <v>4.5693999999999999</v>
      </c>
      <c r="E11" s="20">
        <v>5.5693999999999999</v>
      </c>
      <c r="F11" s="47">
        <v>5.1257999999999999</v>
      </c>
      <c r="G11" s="31">
        <v>4.5138999999999996</v>
      </c>
      <c r="H11" s="2">
        <v>5.5138999999999996</v>
      </c>
      <c r="I11" s="2">
        <v>4.2638999999999996</v>
      </c>
      <c r="J11" s="3">
        <v>4.5693999999999999</v>
      </c>
      <c r="K11" s="2">
        <v>4.375</v>
      </c>
      <c r="L11" s="20">
        <v>4.4028</v>
      </c>
      <c r="M11" s="47">
        <v>13</v>
      </c>
      <c r="N11" s="47">
        <v>6.6943999999999999</v>
      </c>
      <c r="O11" s="25">
        <v>1</v>
      </c>
      <c r="P11" s="6">
        <v>0</v>
      </c>
      <c r="Q11" s="3"/>
      <c r="R11" s="35" t="s">
        <v>17</v>
      </c>
      <c r="S11" s="2">
        <v>3</v>
      </c>
      <c r="T11" s="2">
        <v>4</v>
      </c>
      <c r="U11" s="2">
        <v>3</v>
      </c>
      <c r="V11" s="2">
        <v>3</v>
      </c>
      <c r="W11" s="2">
        <v>3</v>
      </c>
      <c r="X11" s="2">
        <v>3</v>
      </c>
      <c r="Y11" s="2">
        <v>3</v>
      </c>
      <c r="Z11" s="2">
        <v>3</v>
      </c>
      <c r="AA11" s="2">
        <v>3</v>
      </c>
      <c r="AB11" s="20">
        <v>13</v>
      </c>
      <c r="AC11" s="47">
        <v>5</v>
      </c>
      <c r="AD11" s="31">
        <v>0</v>
      </c>
      <c r="AE11" s="6">
        <v>0</v>
      </c>
    </row>
    <row r="12" spans="3:31" x14ac:dyDescent="0.25">
      <c r="C12" s="35" t="s">
        <v>18</v>
      </c>
      <c r="D12" s="31">
        <v>6.9166999999999996</v>
      </c>
      <c r="E12" s="20">
        <v>6.3333000000000004</v>
      </c>
      <c r="F12" s="47">
        <v>6.6111000000000004</v>
      </c>
      <c r="G12" s="31">
        <v>6.9443999999999999</v>
      </c>
      <c r="H12" s="2">
        <v>8.5972000000000008</v>
      </c>
      <c r="I12" s="2">
        <v>7.3056000000000001</v>
      </c>
      <c r="J12" s="2">
        <v>6.75</v>
      </c>
      <c r="K12" s="2">
        <v>6.8056000000000001</v>
      </c>
      <c r="L12" s="20">
        <v>6.8056000000000001</v>
      </c>
      <c r="M12" s="47">
        <v>3.7361</v>
      </c>
      <c r="N12" s="47">
        <v>11.958299999999999</v>
      </c>
      <c r="O12" s="25">
        <v>0</v>
      </c>
      <c r="P12" s="6">
        <v>0</v>
      </c>
      <c r="Q12" s="3"/>
      <c r="R12" s="35" t="s">
        <v>18</v>
      </c>
      <c r="S12" s="2">
        <v>7</v>
      </c>
      <c r="T12" s="2">
        <v>6</v>
      </c>
      <c r="U12" s="2">
        <v>6</v>
      </c>
      <c r="V12" s="2">
        <v>6</v>
      </c>
      <c r="W12" s="2">
        <v>9</v>
      </c>
      <c r="X12" s="2">
        <v>8</v>
      </c>
      <c r="Y12" s="2">
        <v>7</v>
      </c>
      <c r="Z12" s="2">
        <v>6</v>
      </c>
      <c r="AA12" s="2">
        <v>6</v>
      </c>
      <c r="AB12" s="20">
        <v>2</v>
      </c>
      <c r="AC12" s="47">
        <v>15</v>
      </c>
      <c r="AD12" s="31">
        <v>0</v>
      </c>
      <c r="AE12" s="6">
        <v>0</v>
      </c>
    </row>
    <row r="13" spans="3:31" x14ac:dyDescent="0.25">
      <c r="C13" s="35" t="s">
        <v>19</v>
      </c>
      <c r="D13" s="31">
        <v>10.8889</v>
      </c>
      <c r="E13" s="20">
        <v>11.222200000000001</v>
      </c>
      <c r="F13" s="47">
        <v>11.666700000000001</v>
      </c>
      <c r="G13" s="31">
        <v>10.972200000000001</v>
      </c>
      <c r="H13" s="2">
        <v>12.1389</v>
      </c>
      <c r="I13" s="2">
        <v>10.916700000000001</v>
      </c>
      <c r="J13" s="2">
        <v>11.1944</v>
      </c>
      <c r="K13" s="2">
        <v>10.8889</v>
      </c>
      <c r="L13" s="20">
        <v>10.8889</v>
      </c>
      <c r="M13" s="47">
        <v>8.7917000000000005</v>
      </c>
      <c r="N13" s="47">
        <v>9.9167000000000005</v>
      </c>
      <c r="O13" s="25">
        <v>0</v>
      </c>
      <c r="P13" s="6">
        <v>0</v>
      </c>
      <c r="Q13" s="3"/>
      <c r="R13" s="35" t="s">
        <v>19</v>
      </c>
      <c r="S13" s="2">
        <v>12</v>
      </c>
      <c r="T13" s="2">
        <v>13</v>
      </c>
      <c r="U13" s="2">
        <v>13</v>
      </c>
      <c r="V13" s="2">
        <v>12</v>
      </c>
      <c r="W13" s="2">
        <v>14</v>
      </c>
      <c r="X13" s="2">
        <v>12</v>
      </c>
      <c r="Y13" s="2">
        <v>12</v>
      </c>
      <c r="Z13" s="2">
        <v>11</v>
      </c>
      <c r="AA13" s="2">
        <v>12</v>
      </c>
      <c r="AB13" s="20">
        <v>9</v>
      </c>
      <c r="AC13" s="47">
        <v>9</v>
      </c>
      <c r="AD13" s="31">
        <v>0</v>
      </c>
      <c r="AE13" s="6">
        <v>0</v>
      </c>
    </row>
    <row r="14" spans="3:31" x14ac:dyDescent="0.25">
      <c r="C14" s="35" t="s">
        <v>20</v>
      </c>
      <c r="D14" s="31">
        <v>8.9722000000000008</v>
      </c>
      <c r="E14" s="20">
        <v>9.1111000000000004</v>
      </c>
      <c r="F14" s="47">
        <v>8.1388999999999996</v>
      </c>
      <c r="G14" s="31">
        <v>9.0556000000000001</v>
      </c>
      <c r="H14" s="2">
        <v>10.1389</v>
      </c>
      <c r="I14" s="2">
        <v>8.4722000000000008</v>
      </c>
      <c r="J14" s="2">
        <v>9.2222000000000008</v>
      </c>
      <c r="K14" s="2">
        <v>8.4167000000000005</v>
      </c>
      <c r="L14" s="20">
        <v>8.4167000000000005</v>
      </c>
      <c r="M14" s="48">
        <v>16</v>
      </c>
      <c r="N14" s="3">
        <v>11.527799999999999</v>
      </c>
      <c r="O14" s="26">
        <v>0</v>
      </c>
      <c r="P14" s="7">
        <v>1</v>
      </c>
      <c r="Q14" s="54"/>
      <c r="R14" s="35" t="s">
        <v>20</v>
      </c>
      <c r="S14" s="2">
        <v>10</v>
      </c>
      <c r="T14" s="2">
        <v>10</v>
      </c>
      <c r="U14" s="2">
        <v>10</v>
      </c>
      <c r="V14" s="2">
        <v>10</v>
      </c>
      <c r="W14" s="2">
        <v>13</v>
      </c>
      <c r="X14" s="2">
        <v>10</v>
      </c>
      <c r="Y14" s="2">
        <v>10</v>
      </c>
      <c r="Z14" s="2">
        <v>10</v>
      </c>
      <c r="AA14" s="2">
        <v>10</v>
      </c>
      <c r="AB14" s="21">
        <v>16</v>
      </c>
      <c r="AC14" s="47">
        <v>13</v>
      </c>
      <c r="AD14" s="103">
        <v>0</v>
      </c>
      <c r="AE14" s="7">
        <v>1</v>
      </c>
    </row>
    <row r="15" spans="3:31" x14ac:dyDescent="0.25">
      <c r="C15" s="35" t="s">
        <v>21</v>
      </c>
      <c r="D15" s="31">
        <v>6.9166999999999996</v>
      </c>
      <c r="E15" s="20">
        <v>6.3333000000000004</v>
      </c>
      <c r="F15" s="47">
        <v>6.6111000000000004</v>
      </c>
      <c r="G15" s="31">
        <v>6.9443999999999999</v>
      </c>
      <c r="H15" s="2">
        <v>8.5972000000000008</v>
      </c>
      <c r="I15" s="2">
        <v>7.3056000000000001</v>
      </c>
      <c r="J15" s="2">
        <v>6.75</v>
      </c>
      <c r="K15" s="2">
        <v>6.8056000000000001</v>
      </c>
      <c r="L15" s="20">
        <v>6.8056000000000001</v>
      </c>
      <c r="M15" s="47">
        <v>5.4861000000000004</v>
      </c>
      <c r="N15" s="47">
        <v>11.5694</v>
      </c>
      <c r="O15" s="26">
        <v>0</v>
      </c>
      <c r="P15" s="7">
        <v>0</v>
      </c>
      <c r="Q15" s="54"/>
      <c r="R15" s="35" t="s">
        <v>21</v>
      </c>
      <c r="S15" s="2">
        <v>8</v>
      </c>
      <c r="T15" s="2">
        <v>6</v>
      </c>
      <c r="U15" s="2">
        <v>6</v>
      </c>
      <c r="V15" s="2">
        <v>6</v>
      </c>
      <c r="W15" s="2">
        <v>9</v>
      </c>
      <c r="X15" s="2">
        <v>8</v>
      </c>
      <c r="Y15" s="2">
        <v>7</v>
      </c>
      <c r="Z15" s="2">
        <v>6</v>
      </c>
      <c r="AA15" s="2">
        <v>6</v>
      </c>
      <c r="AB15" s="20">
        <v>7</v>
      </c>
      <c r="AC15" s="47">
        <v>14</v>
      </c>
      <c r="AD15" s="103">
        <v>0</v>
      </c>
      <c r="AE15" s="7">
        <v>0</v>
      </c>
    </row>
    <row r="16" spans="3:31" x14ac:dyDescent="0.25">
      <c r="C16" s="35" t="s">
        <v>22</v>
      </c>
      <c r="D16" s="32">
        <v>15.972200000000001</v>
      </c>
      <c r="E16" s="21">
        <v>15.972200000000001</v>
      </c>
      <c r="F16" s="48">
        <v>16</v>
      </c>
      <c r="G16" s="32">
        <v>16</v>
      </c>
      <c r="H16" s="5">
        <v>15.652799999999999</v>
      </c>
      <c r="I16" s="5">
        <v>15.916700000000001</v>
      </c>
      <c r="J16" s="5">
        <v>15.972200000000001</v>
      </c>
      <c r="K16" s="5">
        <v>15.972200000000001</v>
      </c>
      <c r="L16" s="21">
        <v>15.972200000000001</v>
      </c>
      <c r="M16" s="49">
        <v>1.7639</v>
      </c>
      <c r="N16" s="105">
        <v>17.555599999999998</v>
      </c>
      <c r="O16" s="26">
        <v>1</v>
      </c>
      <c r="P16" s="7">
        <v>9</v>
      </c>
      <c r="Q16" s="54"/>
      <c r="R16" s="35" t="s">
        <v>22</v>
      </c>
      <c r="S16" s="5">
        <v>16</v>
      </c>
      <c r="T16" s="5">
        <v>16</v>
      </c>
      <c r="U16" s="5">
        <v>16</v>
      </c>
      <c r="V16" s="5">
        <v>16</v>
      </c>
      <c r="W16" s="5">
        <v>16</v>
      </c>
      <c r="X16" s="5">
        <v>16</v>
      </c>
      <c r="Y16" s="5">
        <v>16</v>
      </c>
      <c r="Z16" s="5">
        <v>16</v>
      </c>
      <c r="AA16" s="5">
        <v>16</v>
      </c>
      <c r="AB16" s="22">
        <v>1</v>
      </c>
      <c r="AC16" s="48">
        <v>16</v>
      </c>
      <c r="AD16" s="103">
        <v>1</v>
      </c>
      <c r="AE16" s="7">
        <v>10</v>
      </c>
    </row>
    <row r="17" spans="2:31" x14ac:dyDescent="0.25">
      <c r="C17" s="35" t="s">
        <v>25</v>
      </c>
      <c r="D17" s="31">
        <v>6.1111000000000004</v>
      </c>
      <c r="E17" s="20">
        <v>5.3888999999999996</v>
      </c>
      <c r="F17" s="47">
        <v>6.2222</v>
      </c>
      <c r="G17" s="31">
        <v>6.0833000000000004</v>
      </c>
      <c r="H17" s="2">
        <v>7.7083000000000004</v>
      </c>
      <c r="I17" s="2">
        <v>6.4722</v>
      </c>
      <c r="J17" s="2">
        <v>6.0278</v>
      </c>
      <c r="K17" s="2">
        <v>6.1388999999999996</v>
      </c>
      <c r="L17" s="20">
        <v>6.1388999999999996</v>
      </c>
      <c r="M17" s="47">
        <v>5.1528</v>
      </c>
      <c r="N17" s="47">
        <v>7.75</v>
      </c>
      <c r="O17" s="25">
        <v>0</v>
      </c>
      <c r="P17" s="6">
        <v>0</v>
      </c>
      <c r="Q17" s="3"/>
      <c r="R17" s="35" t="s">
        <v>25</v>
      </c>
      <c r="S17" s="2">
        <v>4</v>
      </c>
      <c r="T17" s="2">
        <v>3</v>
      </c>
      <c r="U17" s="2">
        <v>5</v>
      </c>
      <c r="V17" s="2">
        <v>4</v>
      </c>
      <c r="W17" s="2">
        <v>8</v>
      </c>
      <c r="X17" s="2">
        <v>4</v>
      </c>
      <c r="Y17" s="2">
        <v>5</v>
      </c>
      <c r="Z17" s="2">
        <v>4</v>
      </c>
      <c r="AA17" s="2">
        <v>4</v>
      </c>
      <c r="AB17" s="20">
        <v>5</v>
      </c>
      <c r="AC17" s="47">
        <v>6</v>
      </c>
      <c r="AD17" s="31">
        <v>0</v>
      </c>
      <c r="AE17" s="6">
        <v>0</v>
      </c>
    </row>
    <row r="18" spans="2:31" x14ac:dyDescent="0.25">
      <c r="C18" s="35" t="s">
        <v>26</v>
      </c>
      <c r="D18" s="31">
        <v>6.1806000000000001</v>
      </c>
      <c r="E18" s="20">
        <v>5.5693999999999999</v>
      </c>
      <c r="F18" s="47">
        <v>6.2083000000000004</v>
      </c>
      <c r="G18" s="31">
        <v>6.1528</v>
      </c>
      <c r="H18" s="2">
        <v>7.4166999999999996</v>
      </c>
      <c r="I18" s="2">
        <v>6.4861000000000004</v>
      </c>
      <c r="J18" s="2">
        <v>5.9306000000000001</v>
      </c>
      <c r="K18" s="2">
        <v>6.3193999999999999</v>
      </c>
      <c r="L18" s="20">
        <v>6.3193999999999999</v>
      </c>
      <c r="M18" s="47">
        <v>6.4443999999999999</v>
      </c>
      <c r="N18" s="47">
        <v>8.9167000000000005</v>
      </c>
      <c r="O18" s="25">
        <v>0</v>
      </c>
      <c r="P18" s="6">
        <v>0</v>
      </c>
      <c r="Q18" s="3"/>
      <c r="R18" s="35" t="s">
        <v>26</v>
      </c>
      <c r="S18" s="2">
        <v>5</v>
      </c>
      <c r="T18" s="2">
        <v>4</v>
      </c>
      <c r="U18" s="2">
        <v>4</v>
      </c>
      <c r="V18" s="2">
        <v>5</v>
      </c>
      <c r="W18" s="2">
        <v>6</v>
      </c>
      <c r="X18" s="2">
        <v>5</v>
      </c>
      <c r="Y18" s="2">
        <v>4</v>
      </c>
      <c r="Z18" s="2">
        <v>5</v>
      </c>
      <c r="AA18" s="2">
        <v>5</v>
      </c>
      <c r="AB18" s="20">
        <v>8</v>
      </c>
      <c r="AC18" s="47">
        <v>8</v>
      </c>
      <c r="AD18" s="31">
        <v>0</v>
      </c>
      <c r="AE18" s="6">
        <v>0</v>
      </c>
    </row>
    <row r="19" spans="2:31" x14ac:dyDescent="0.25">
      <c r="C19" s="35" t="s">
        <v>27</v>
      </c>
      <c r="D19" s="33">
        <v>3.4306000000000001</v>
      </c>
      <c r="E19" s="20">
        <v>6.4306000000000001</v>
      </c>
      <c r="F19" s="47">
        <v>4.7361000000000004</v>
      </c>
      <c r="G19" s="33">
        <v>3.3472</v>
      </c>
      <c r="H19" s="2">
        <v>5.1388999999999996</v>
      </c>
      <c r="I19" s="2">
        <v>3.3472</v>
      </c>
      <c r="J19" s="2">
        <v>4.5416999999999996</v>
      </c>
      <c r="K19" s="2">
        <v>4.0416999999999996</v>
      </c>
      <c r="L19" s="20">
        <v>4.0416999999999996</v>
      </c>
      <c r="M19" s="47">
        <v>11.416700000000001</v>
      </c>
      <c r="N19" s="47">
        <v>9.9443999999999999</v>
      </c>
      <c r="O19" s="25">
        <v>2</v>
      </c>
      <c r="P19" s="6">
        <v>0</v>
      </c>
      <c r="Q19" s="3"/>
      <c r="R19" s="35" t="s">
        <v>27</v>
      </c>
      <c r="S19" s="4">
        <v>1</v>
      </c>
      <c r="T19" s="2">
        <v>8</v>
      </c>
      <c r="U19" s="2">
        <v>2</v>
      </c>
      <c r="V19" s="4">
        <v>1</v>
      </c>
      <c r="W19" s="2">
        <v>2</v>
      </c>
      <c r="X19" s="2">
        <v>2</v>
      </c>
      <c r="Y19" s="2">
        <v>2</v>
      </c>
      <c r="Z19" s="2">
        <v>2</v>
      </c>
      <c r="AA19" s="2">
        <v>2</v>
      </c>
      <c r="AB19" s="20">
        <v>11</v>
      </c>
      <c r="AC19" s="47">
        <v>10</v>
      </c>
      <c r="AD19" s="31">
        <v>2</v>
      </c>
      <c r="AE19" s="6">
        <v>0</v>
      </c>
    </row>
    <row r="20" spans="2:31" ht="15.75" thickBot="1" x14ac:dyDescent="0.3">
      <c r="C20" s="36" t="s">
        <v>28</v>
      </c>
      <c r="D20" s="34">
        <v>6.5278</v>
      </c>
      <c r="E20" s="51">
        <v>4.5</v>
      </c>
      <c r="F20" s="50">
        <v>7.4443999999999999</v>
      </c>
      <c r="G20" s="34">
        <v>7.25</v>
      </c>
      <c r="H20" s="15">
        <v>1.8193999999999999</v>
      </c>
      <c r="I20" s="14">
        <v>7.1806000000000001</v>
      </c>
      <c r="J20" s="14">
        <v>6.1111000000000004</v>
      </c>
      <c r="K20" s="14">
        <v>7.9166999999999996</v>
      </c>
      <c r="L20" s="23">
        <v>7.8888999999999996</v>
      </c>
      <c r="M20" s="50">
        <v>11.6111</v>
      </c>
      <c r="N20" s="104">
        <v>3.3332999999999999</v>
      </c>
      <c r="O20" s="40">
        <v>2</v>
      </c>
      <c r="P20" s="9">
        <v>0</v>
      </c>
      <c r="Q20" s="3"/>
      <c r="R20" s="36" t="s">
        <v>28</v>
      </c>
      <c r="S20" s="2">
        <v>6</v>
      </c>
      <c r="T20" s="4">
        <v>1</v>
      </c>
      <c r="U20" s="2">
        <v>9</v>
      </c>
      <c r="V20" s="2">
        <v>9</v>
      </c>
      <c r="W20" s="4">
        <v>1</v>
      </c>
      <c r="X20" s="2">
        <v>7</v>
      </c>
      <c r="Y20" s="2">
        <v>6</v>
      </c>
      <c r="Z20" s="8">
        <v>9</v>
      </c>
      <c r="AA20" s="2">
        <v>9</v>
      </c>
      <c r="AB20" s="20">
        <v>12</v>
      </c>
      <c r="AC20" s="104">
        <v>1</v>
      </c>
      <c r="AD20" s="34">
        <v>3</v>
      </c>
      <c r="AE20" s="16">
        <v>0</v>
      </c>
    </row>
    <row r="21" spans="2:31" ht="15.75" thickBot="1" x14ac:dyDescent="0.3">
      <c r="C21" s="167" t="s">
        <v>35</v>
      </c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85"/>
      <c r="O21" s="17">
        <f>SUM(O5:O20)</f>
        <v>10</v>
      </c>
      <c r="P21" s="18">
        <f>SUM(P5:P20)</f>
        <v>10</v>
      </c>
      <c r="Q21" s="3"/>
      <c r="R21" s="167" t="s">
        <v>35</v>
      </c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9"/>
      <c r="AD21" s="28">
        <f>SUM(AD5:AD20)</f>
        <v>11</v>
      </c>
      <c r="AE21" s="18">
        <f>SUM(AE5:AE20)</f>
        <v>11</v>
      </c>
    </row>
    <row r="22" spans="2:31" ht="15.75" thickBot="1" x14ac:dyDescent="0.3"/>
    <row r="23" spans="2:31" x14ac:dyDescent="0.25">
      <c r="B23" s="133" t="s">
        <v>63</v>
      </c>
      <c r="C23" s="139" t="s">
        <v>0</v>
      </c>
      <c r="D23" s="142" t="s">
        <v>36</v>
      </c>
      <c r="E23" s="143"/>
      <c r="F23" s="146" t="s">
        <v>33</v>
      </c>
      <c r="G23" s="148" t="s">
        <v>29</v>
      </c>
      <c r="H23" s="149"/>
      <c r="I23" s="149"/>
      <c r="J23" s="149"/>
      <c r="K23" s="149"/>
      <c r="L23" s="150"/>
      <c r="M23" s="151" t="s">
        <v>32</v>
      </c>
      <c r="N23" s="99"/>
      <c r="O23" s="133" t="s">
        <v>49</v>
      </c>
      <c r="P23" s="134"/>
      <c r="Q23" s="133" t="s">
        <v>50</v>
      </c>
      <c r="R23" s="134"/>
      <c r="S23" s="117" t="s">
        <v>51</v>
      </c>
      <c r="T23" s="118"/>
      <c r="U23" s="117" t="s">
        <v>52</v>
      </c>
      <c r="V23" s="118"/>
      <c r="W23" s="130" t="s">
        <v>53</v>
      </c>
      <c r="X23" s="130"/>
      <c r="Y23" s="117" t="s">
        <v>54</v>
      </c>
      <c r="Z23" s="118"/>
      <c r="AA23" s="130" t="s">
        <v>55</v>
      </c>
      <c r="AB23" s="118"/>
      <c r="AC23" s="101"/>
    </row>
    <row r="24" spans="2:31" x14ac:dyDescent="0.25">
      <c r="B24" s="135"/>
      <c r="C24" s="140"/>
      <c r="D24" s="144"/>
      <c r="E24" s="145"/>
      <c r="F24" s="147"/>
      <c r="G24" s="154" t="s">
        <v>30</v>
      </c>
      <c r="H24" s="155"/>
      <c r="I24" s="155"/>
      <c r="J24" s="155" t="s">
        <v>31</v>
      </c>
      <c r="K24" s="155"/>
      <c r="L24" s="156"/>
      <c r="M24" s="152"/>
      <c r="N24" s="100"/>
      <c r="O24" s="135"/>
      <c r="P24" s="136"/>
      <c r="Q24" s="135"/>
      <c r="R24" s="136"/>
      <c r="S24" s="119"/>
      <c r="T24" s="120"/>
      <c r="U24" s="119"/>
      <c r="V24" s="120"/>
      <c r="W24" s="131"/>
      <c r="X24" s="131"/>
      <c r="Y24" s="119"/>
      <c r="Z24" s="120"/>
      <c r="AA24" s="131"/>
      <c r="AB24" s="120"/>
      <c r="AC24" s="101"/>
    </row>
    <row r="25" spans="2:31" ht="15.75" thickBot="1" x14ac:dyDescent="0.3">
      <c r="B25" s="135"/>
      <c r="C25" s="141"/>
      <c r="D25" s="13" t="s">
        <v>1</v>
      </c>
      <c r="E25" s="67" t="s">
        <v>2</v>
      </c>
      <c r="F25" s="79" t="s">
        <v>3</v>
      </c>
      <c r="G25" s="13" t="s">
        <v>4</v>
      </c>
      <c r="H25" s="53" t="s">
        <v>5</v>
      </c>
      <c r="I25" s="53" t="s">
        <v>6</v>
      </c>
      <c r="J25" s="53" t="s">
        <v>7</v>
      </c>
      <c r="K25" s="53" t="s">
        <v>8</v>
      </c>
      <c r="L25" s="67" t="s">
        <v>9</v>
      </c>
      <c r="M25" s="153"/>
      <c r="N25" s="100"/>
      <c r="O25" s="135"/>
      <c r="P25" s="136"/>
      <c r="Q25" s="135"/>
      <c r="R25" s="136"/>
      <c r="S25" s="119"/>
      <c r="T25" s="120"/>
      <c r="U25" s="119"/>
      <c r="V25" s="120"/>
      <c r="W25" s="131"/>
      <c r="X25" s="131"/>
      <c r="Y25" s="119"/>
      <c r="Z25" s="120"/>
      <c r="AA25" s="131"/>
      <c r="AB25" s="120"/>
      <c r="AC25" s="101"/>
    </row>
    <row r="26" spans="2:31" x14ac:dyDescent="0.25">
      <c r="B26" s="133" t="s">
        <v>39</v>
      </c>
      <c r="C26" s="71" t="s">
        <v>14</v>
      </c>
      <c r="D26" s="60">
        <v>13</v>
      </c>
      <c r="E26" s="57">
        <v>11</v>
      </c>
      <c r="F26" s="61">
        <v>11</v>
      </c>
      <c r="G26" s="60">
        <v>13</v>
      </c>
      <c r="H26" s="56">
        <v>5</v>
      </c>
      <c r="I26" s="56">
        <v>13</v>
      </c>
      <c r="J26" s="56">
        <v>11</v>
      </c>
      <c r="K26" s="56">
        <v>13</v>
      </c>
      <c r="L26" s="57">
        <v>13</v>
      </c>
      <c r="M26" s="80">
        <v>10</v>
      </c>
      <c r="N26" s="80"/>
      <c r="O26" s="60">
        <f t="shared" ref="O26:O60" si="0">SUM(D26:M26) / 10</f>
        <v>11.3</v>
      </c>
      <c r="P26" s="129">
        <f>SUM(O26:O31) / 6</f>
        <v>7.5</v>
      </c>
      <c r="Q26" s="60">
        <f>SUM(D26:E26) / 2</f>
        <v>12</v>
      </c>
      <c r="R26" s="121">
        <f>SUM(Q26:Q31) / 6</f>
        <v>7.75</v>
      </c>
      <c r="S26" s="60">
        <f t="shared" ref="S26:S60" si="1">SUM(F26) / 1</f>
        <v>11</v>
      </c>
      <c r="T26" s="121">
        <f>SUM(S26:S31) / 6</f>
        <v>7.166666666666667</v>
      </c>
      <c r="U26" s="60">
        <f t="shared" ref="U26:U60" si="2">SUM(G26:L26) / 6</f>
        <v>11.333333333333334</v>
      </c>
      <c r="V26" s="129">
        <f>SUM(U26:U31) / 6</f>
        <v>7.5000000000000009</v>
      </c>
      <c r="W26" s="59">
        <f t="shared" ref="W26:W60" si="3">SUM(G26:I26) / 3</f>
        <v>10.333333333333334</v>
      </c>
      <c r="X26" s="121">
        <f>SUM(W26:W31) / 6</f>
        <v>7.5555555555555562</v>
      </c>
      <c r="Y26" s="60">
        <f t="shared" ref="Y26:Y60" si="4">SUM(J26:L26) / 3</f>
        <v>12.333333333333334</v>
      </c>
      <c r="Z26" s="111">
        <f>SUM(Y26:Y31) / 6</f>
        <v>7.4444444444444455</v>
      </c>
      <c r="AA26" s="59">
        <f>SUM(M26) / 1</f>
        <v>10</v>
      </c>
      <c r="AB26" s="111">
        <f>SUM(AA26:AA31) / 6</f>
        <v>7.333333333333333</v>
      </c>
      <c r="AC26" s="3"/>
    </row>
    <row r="27" spans="2:31" x14ac:dyDescent="0.25">
      <c r="B27" s="135"/>
      <c r="C27" s="75" t="s">
        <v>15</v>
      </c>
      <c r="D27" s="25">
        <v>15</v>
      </c>
      <c r="E27" s="6">
        <v>15</v>
      </c>
      <c r="F27" s="43">
        <v>15</v>
      </c>
      <c r="G27" s="25">
        <v>15</v>
      </c>
      <c r="H27" s="2">
        <v>15</v>
      </c>
      <c r="I27" s="2">
        <v>15</v>
      </c>
      <c r="J27" s="2">
        <v>15</v>
      </c>
      <c r="K27" s="2">
        <v>15</v>
      </c>
      <c r="L27" s="6">
        <v>15</v>
      </c>
      <c r="M27" s="65">
        <v>3</v>
      </c>
      <c r="N27" s="65"/>
      <c r="O27" s="25">
        <f t="shared" si="0"/>
        <v>13.8</v>
      </c>
      <c r="P27" s="125"/>
      <c r="Q27" s="25">
        <f>SUM(D27:E27) / 2</f>
        <v>15</v>
      </c>
      <c r="R27" s="122"/>
      <c r="S27" s="25">
        <f t="shared" si="1"/>
        <v>15</v>
      </c>
      <c r="T27" s="122"/>
      <c r="U27" s="25">
        <f t="shared" si="2"/>
        <v>15</v>
      </c>
      <c r="V27" s="125"/>
      <c r="W27" s="31">
        <f t="shared" si="3"/>
        <v>15</v>
      </c>
      <c r="X27" s="122"/>
      <c r="Y27" s="25">
        <f t="shared" si="4"/>
        <v>15</v>
      </c>
      <c r="Z27" s="112"/>
      <c r="AA27" s="31">
        <f t="shared" ref="AA27:AA60" si="5">SUM(M27) / 1</f>
        <v>3</v>
      </c>
      <c r="AB27" s="112"/>
      <c r="AC27" s="3"/>
    </row>
    <row r="28" spans="2:31" x14ac:dyDescent="0.25">
      <c r="B28" s="135"/>
      <c r="C28" s="75" t="s">
        <v>21</v>
      </c>
      <c r="D28" s="25">
        <v>8</v>
      </c>
      <c r="E28" s="6">
        <v>6</v>
      </c>
      <c r="F28" s="43">
        <v>6</v>
      </c>
      <c r="G28" s="25">
        <v>6</v>
      </c>
      <c r="H28" s="2">
        <v>9</v>
      </c>
      <c r="I28" s="2">
        <v>8</v>
      </c>
      <c r="J28" s="2">
        <v>7</v>
      </c>
      <c r="K28" s="2">
        <v>6</v>
      </c>
      <c r="L28" s="6">
        <v>6</v>
      </c>
      <c r="M28" s="65">
        <v>7</v>
      </c>
      <c r="N28" s="65"/>
      <c r="O28" s="25">
        <f t="shared" si="0"/>
        <v>6.9</v>
      </c>
      <c r="P28" s="125"/>
      <c r="Q28" s="25">
        <f t="shared" ref="Q28:Q60" si="6">SUM(D28:E28) / 2</f>
        <v>7</v>
      </c>
      <c r="R28" s="122"/>
      <c r="S28" s="25">
        <f t="shared" si="1"/>
        <v>6</v>
      </c>
      <c r="T28" s="122"/>
      <c r="U28" s="25">
        <f t="shared" si="2"/>
        <v>7</v>
      </c>
      <c r="V28" s="125"/>
      <c r="W28" s="31">
        <f t="shared" si="3"/>
        <v>7.666666666666667</v>
      </c>
      <c r="X28" s="122"/>
      <c r="Y28" s="25">
        <f t="shared" si="4"/>
        <v>6.333333333333333</v>
      </c>
      <c r="Z28" s="112"/>
      <c r="AA28" s="31">
        <f t="shared" si="5"/>
        <v>7</v>
      </c>
      <c r="AB28" s="112"/>
      <c r="AC28" s="3"/>
    </row>
    <row r="29" spans="2:31" x14ac:dyDescent="0.25">
      <c r="B29" s="135"/>
      <c r="C29" s="75" t="s">
        <v>25</v>
      </c>
      <c r="D29" s="25">
        <v>4</v>
      </c>
      <c r="E29" s="6">
        <v>3</v>
      </c>
      <c r="F29" s="43">
        <v>5</v>
      </c>
      <c r="G29" s="25">
        <v>4</v>
      </c>
      <c r="H29" s="2">
        <v>8</v>
      </c>
      <c r="I29" s="2">
        <v>4</v>
      </c>
      <c r="J29" s="2">
        <v>5</v>
      </c>
      <c r="K29" s="2">
        <v>4</v>
      </c>
      <c r="L29" s="6">
        <v>4</v>
      </c>
      <c r="M29" s="65">
        <v>5</v>
      </c>
      <c r="N29" s="65"/>
      <c r="O29" s="25">
        <f t="shared" si="0"/>
        <v>4.5999999999999996</v>
      </c>
      <c r="P29" s="125"/>
      <c r="Q29" s="25">
        <f>SUM(D29:E29) / 2</f>
        <v>3.5</v>
      </c>
      <c r="R29" s="122"/>
      <c r="S29" s="25">
        <f t="shared" si="1"/>
        <v>5</v>
      </c>
      <c r="T29" s="122"/>
      <c r="U29" s="25">
        <f t="shared" si="2"/>
        <v>4.833333333333333</v>
      </c>
      <c r="V29" s="125"/>
      <c r="W29" s="31">
        <f t="shared" si="3"/>
        <v>5.333333333333333</v>
      </c>
      <c r="X29" s="122"/>
      <c r="Y29" s="25">
        <f t="shared" si="4"/>
        <v>4.333333333333333</v>
      </c>
      <c r="Z29" s="112"/>
      <c r="AA29" s="31">
        <f t="shared" si="5"/>
        <v>5</v>
      </c>
      <c r="AB29" s="112"/>
      <c r="AC29" s="3"/>
    </row>
    <row r="30" spans="2:31" x14ac:dyDescent="0.25">
      <c r="B30" s="135"/>
      <c r="C30" s="75" t="s">
        <v>26</v>
      </c>
      <c r="D30" s="25">
        <v>5</v>
      </c>
      <c r="E30" s="6">
        <v>4</v>
      </c>
      <c r="F30" s="43">
        <v>4</v>
      </c>
      <c r="G30" s="25">
        <v>5</v>
      </c>
      <c r="H30" s="2">
        <v>6</v>
      </c>
      <c r="I30" s="2">
        <v>5</v>
      </c>
      <c r="J30" s="2">
        <v>4</v>
      </c>
      <c r="K30" s="2">
        <v>5</v>
      </c>
      <c r="L30" s="6">
        <v>5</v>
      </c>
      <c r="M30" s="65">
        <v>8</v>
      </c>
      <c r="N30" s="65"/>
      <c r="O30" s="25">
        <f t="shared" si="0"/>
        <v>5.0999999999999996</v>
      </c>
      <c r="P30" s="125"/>
      <c r="Q30" s="25">
        <f>SUM(D30:E30) / 2</f>
        <v>4.5</v>
      </c>
      <c r="R30" s="122"/>
      <c r="S30" s="25">
        <f t="shared" si="1"/>
        <v>4</v>
      </c>
      <c r="T30" s="122"/>
      <c r="U30" s="25">
        <f t="shared" si="2"/>
        <v>5</v>
      </c>
      <c r="V30" s="125"/>
      <c r="W30" s="31">
        <f t="shared" si="3"/>
        <v>5.333333333333333</v>
      </c>
      <c r="X30" s="122"/>
      <c r="Y30" s="25">
        <f t="shared" si="4"/>
        <v>4.666666666666667</v>
      </c>
      <c r="Z30" s="112"/>
      <c r="AA30" s="31">
        <f t="shared" si="5"/>
        <v>8</v>
      </c>
      <c r="AB30" s="112"/>
      <c r="AC30" s="3"/>
    </row>
    <row r="31" spans="2:31" ht="15.75" thickBot="1" x14ac:dyDescent="0.3">
      <c r="B31" s="138"/>
      <c r="C31" s="72" t="s">
        <v>27</v>
      </c>
      <c r="D31" s="77">
        <v>1</v>
      </c>
      <c r="E31" s="9">
        <v>8</v>
      </c>
      <c r="F31" s="62">
        <v>2</v>
      </c>
      <c r="G31" s="77">
        <v>1</v>
      </c>
      <c r="H31" s="8">
        <v>2</v>
      </c>
      <c r="I31" s="8">
        <v>2</v>
      </c>
      <c r="J31" s="8">
        <v>2</v>
      </c>
      <c r="K31" s="8">
        <v>2</v>
      </c>
      <c r="L31" s="9">
        <v>2</v>
      </c>
      <c r="M31" s="81">
        <v>11</v>
      </c>
      <c r="N31" s="81"/>
      <c r="O31" s="40">
        <f t="shared" si="0"/>
        <v>3.3</v>
      </c>
      <c r="P31" s="126"/>
      <c r="Q31" s="40">
        <f t="shared" si="6"/>
        <v>4.5</v>
      </c>
      <c r="R31" s="123"/>
      <c r="S31" s="40">
        <f t="shared" si="1"/>
        <v>2</v>
      </c>
      <c r="T31" s="123"/>
      <c r="U31" s="40">
        <f t="shared" si="2"/>
        <v>1.8333333333333333</v>
      </c>
      <c r="V31" s="126"/>
      <c r="W31" s="52">
        <f t="shared" si="3"/>
        <v>1.6666666666666667</v>
      </c>
      <c r="X31" s="123"/>
      <c r="Y31" s="40">
        <f t="shared" si="4"/>
        <v>2</v>
      </c>
      <c r="Z31" s="113"/>
      <c r="AA31" s="52">
        <f t="shared" si="5"/>
        <v>11</v>
      </c>
      <c r="AB31" s="113"/>
      <c r="AC31" s="3"/>
    </row>
    <row r="32" spans="2:31" x14ac:dyDescent="0.25">
      <c r="B32" s="133" t="s">
        <v>40</v>
      </c>
      <c r="C32" s="71" t="s">
        <v>14</v>
      </c>
      <c r="D32" s="60">
        <v>13</v>
      </c>
      <c r="E32" s="57">
        <v>11</v>
      </c>
      <c r="F32" s="61">
        <v>11</v>
      </c>
      <c r="G32" s="60">
        <v>13</v>
      </c>
      <c r="H32" s="56">
        <v>5</v>
      </c>
      <c r="I32" s="56">
        <v>13</v>
      </c>
      <c r="J32" s="56">
        <v>11</v>
      </c>
      <c r="K32" s="56">
        <v>13</v>
      </c>
      <c r="L32" s="57">
        <v>13</v>
      </c>
      <c r="M32" s="80">
        <v>10</v>
      </c>
      <c r="N32" s="80"/>
      <c r="O32" s="60">
        <f t="shared" si="0"/>
        <v>11.3</v>
      </c>
      <c r="P32" s="129">
        <f>SUM(O32:O33) / 2</f>
        <v>7.3000000000000007</v>
      </c>
      <c r="Q32" s="60">
        <f t="shared" si="6"/>
        <v>12</v>
      </c>
      <c r="R32" s="121">
        <f>SUM(Q32:Q33) / 2</f>
        <v>8.25</v>
      </c>
      <c r="S32" s="60">
        <f t="shared" si="1"/>
        <v>11</v>
      </c>
      <c r="T32" s="121">
        <f>SUM(S32:S33) / 2</f>
        <v>6.5</v>
      </c>
      <c r="U32" s="60">
        <f t="shared" si="2"/>
        <v>11.333333333333334</v>
      </c>
      <c r="V32" s="129">
        <f>SUM(U32:U33) / 2</f>
        <v>6.5833333333333339</v>
      </c>
      <c r="W32" s="59">
        <f t="shared" si="3"/>
        <v>10.333333333333334</v>
      </c>
      <c r="X32" s="111">
        <f>SUM(W32:W33) /2</f>
        <v>6</v>
      </c>
      <c r="Y32" s="60">
        <f t="shared" si="4"/>
        <v>12.333333333333334</v>
      </c>
      <c r="Z32" s="111">
        <f>SUM(Y32:Y33) / 2</f>
        <v>7.166666666666667</v>
      </c>
      <c r="AA32" s="59">
        <f t="shared" si="5"/>
        <v>10</v>
      </c>
      <c r="AB32" s="111">
        <f>SUM(AA32:AA33) / 2</f>
        <v>10.5</v>
      </c>
      <c r="AC32" s="3"/>
    </row>
    <row r="33" spans="2:29" ht="15.75" thickBot="1" x14ac:dyDescent="0.3">
      <c r="B33" s="138"/>
      <c r="C33" s="72" t="s">
        <v>27</v>
      </c>
      <c r="D33" s="77">
        <v>1</v>
      </c>
      <c r="E33" s="9">
        <v>8</v>
      </c>
      <c r="F33" s="62">
        <v>2</v>
      </c>
      <c r="G33" s="77">
        <v>1</v>
      </c>
      <c r="H33" s="8">
        <v>2</v>
      </c>
      <c r="I33" s="8">
        <v>2</v>
      </c>
      <c r="J33" s="8">
        <v>2</v>
      </c>
      <c r="K33" s="8">
        <v>2</v>
      </c>
      <c r="L33" s="9">
        <v>2</v>
      </c>
      <c r="M33" s="81">
        <v>11</v>
      </c>
      <c r="N33" s="81"/>
      <c r="O33" s="40">
        <f t="shared" si="0"/>
        <v>3.3</v>
      </c>
      <c r="P33" s="126"/>
      <c r="Q33" s="40">
        <f t="shared" si="6"/>
        <v>4.5</v>
      </c>
      <c r="R33" s="123"/>
      <c r="S33" s="40">
        <f t="shared" si="1"/>
        <v>2</v>
      </c>
      <c r="T33" s="123"/>
      <c r="U33" s="40">
        <f t="shared" si="2"/>
        <v>1.8333333333333333</v>
      </c>
      <c r="V33" s="126"/>
      <c r="W33" s="52">
        <f t="shared" si="3"/>
        <v>1.6666666666666667</v>
      </c>
      <c r="X33" s="113"/>
      <c r="Y33" s="40">
        <f t="shared" si="4"/>
        <v>2</v>
      </c>
      <c r="Z33" s="113"/>
      <c r="AA33" s="52">
        <f t="shared" si="5"/>
        <v>11</v>
      </c>
      <c r="AB33" s="113"/>
      <c r="AC33" s="3"/>
    </row>
    <row r="34" spans="2:29" x14ac:dyDescent="0.25">
      <c r="B34" s="133" t="s">
        <v>41</v>
      </c>
      <c r="C34" s="71" t="s">
        <v>11</v>
      </c>
      <c r="D34" s="60">
        <v>14</v>
      </c>
      <c r="E34" s="57">
        <v>14</v>
      </c>
      <c r="F34" s="61">
        <v>14</v>
      </c>
      <c r="G34" s="60">
        <v>14</v>
      </c>
      <c r="H34" s="56">
        <v>11</v>
      </c>
      <c r="I34" s="56">
        <v>14</v>
      </c>
      <c r="J34" s="56">
        <v>14</v>
      </c>
      <c r="K34" s="56">
        <v>14</v>
      </c>
      <c r="L34" s="57">
        <v>14</v>
      </c>
      <c r="M34" s="80">
        <v>6</v>
      </c>
      <c r="N34" s="80"/>
      <c r="O34" s="60">
        <f t="shared" si="0"/>
        <v>12.9</v>
      </c>
      <c r="P34" s="129">
        <f>SUM(O34:O35) / 2</f>
        <v>13.350000000000001</v>
      </c>
      <c r="Q34" s="60">
        <f t="shared" si="6"/>
        <v>14</v>
      </c>
      <c r="R34" s="121">
        <f>SUM(Q34:Q35) / 2</f>
        <v>14.5</v>
      </c>
      <c r="S34" s="60">
        <f t="shared" si="1"/>
        <v>14</v>
      </c>
      <c r="T34" s="121">
        <f>SUM(S34:S35) / 2</f>
        <v>14.5</v>
      </c>
      <c r="U34" s="60">
        <f t="shared" si="2"/>
        <v>13.5</v>
      </c>
      <c r="V34" s="129">
        <f>SUM(U34:U35) / 2</f>
        <v>14.25</v>
      </c>
      <c r="W34" s="60">
        <f t="shared" si="3"/>
        <v>13</v>
      </c>
      <c r="X34" s="111">
        <f>SUM(W34:W35) / 2</f>
        <v>14</v>
      </c>
      <c r="Y34" s="60">
        <f t="shared" si="4"/>
        <v>14</v>
      </c>
      <c r="Z34" s="111">
        <f>SUM(Y34:Y35) / 2</f>
        <v>14.5</v>
      </c>
      <c r="AA34" s="59">
        <f t="shared" si="5"/>
        <v>6</v>
      </c>
      <c r="AB34" s="111">
        <f>SUM(AA34:AA35) / 2</f>
        <v>4.5</v>
      </c>
      <c r="AC34" s="3"/>
    </row>
    <row r="35" spans="2:29" ht="15.75" thickBot="1" x14ac:dyDescent="0.3">
      <c r="B35" s="138"/>
      <c r="C35" s="72" t="s">
        <v>15</v>
      </c>
      <c r="D35" s="40">
        <v>15</v>
      </c>
      <c r="E35" s="9">
        <v>15</v>
      </c>
      <c r="F35" s="62">
        <v>15</v>
      </c>
      <c r="G35" s="40">
        <v>15</v>
      </c>
      <c r="H35" s="8">
        <v>15</v>
      </c>
      <c r="I35" s="8">
        <v>15</v>
      </c>
      <c r="J35" s="8">
        <v>15</v>
      </c>
      <c r="K35" s="8">
        <v>15</v>
      </c>
      <c r="L35" s="9">
        <v>15</v>
      </c>
      <c r="M35" s="81">
        <v>3</v>
      </c>
      <c r="N35" s="81"/>
      <c r="O35" s="40">
        <f t="shared" si="0"/>
        <v>13.8</v>
      </c>
      <c r="P35" s="126"/>
      <c r="Q35" s="40">
        <f t="shared" si="6"/>
        <v>15</v>
      </c>
      <c r="R35" s="123"/>
      <c r="S35" s="40">
        <f t="shared" si="1"/>
        <v>15</v>
      </c>
      <c r="T35" s="123"/>
      <c r="U35" s="40">
        <f t="shared" si="2"/>
        <v>15</v>
      </c>
      <c r="V35" s="126"/>
      <c r="W35" s="40">
        <f t="shared" si="3"/>
        <v>15</v>
      </c>
      <c r="X35" s="113"/>
      <c r="Y35" s="40">
        <f t="shared" si="4"/>
        <v>15</v>
      </c>
      <c r="Z35" s="113"/>
      <c r="AA35" s="52">
        <f t="shared" si="5"/>
        <v>3</v>
      </c>
      <c r="AB35" s="113"/>
      <c r="AC35" s="3"/>
    </row>
    <row r="36" spans="2:29" x14ac:dyDescent="0.25">
      <c r="B36" s="135" t="s">
        <v>42</v>
      </c>
      <c r="C36" s="74" t="s">
        <v>21</v>
      </c>
      <c r="D36" s="24">
        <v>8</v>
      </c>
      <c r="E36" s="11">
        <v>6</v>
      </c>
      <c r="F36" s="42">
        <v>6</v>
      </c>
      <c r="G36" s="24">
        <v>6</v>
      </c>
      <c r="H36" s="10">
        <v>9</v>
      </c>
      <c r="I36" s="10">
        <v>8</v>
      </c>
      <c r="J36" s="10">
        <v>7</v>
      </c>
      <c r="K36" s="10">
        <v>6</v>
      </c>
      <c r="L36" s="11">
        <v>6</v>
      </c>
      <c r="M36" s="82">
        <v>7</v>
      </c>
      <c r="N36" s="82"/>
      <c r="O36" s="24">
        <f t="shared" si="0"/>
        <v>6.9</v>
      </c>
      <c r="P36" s="124">
        <f>SUM(O36:O38) / 3</f>
        <v>5.5333333333333341</v>
      </c>
      <c r="Q36" s="24">
        <f t="shared" si="6"/>
        <v>7</v>
      </c>
      <c r="R36" s="122">
        <f>SUM(Q36:Q38) / 3</f>
        <v>5</v>
      </c>
      <c r="S36" s="24">
        <f t="shared" si="1"/>
        <v>6</v>
      </c>
      <c r="T36" s="122">
        <f>SUM(S36:S38) / 3</f>
        <v>5</v>
      </c>
      <c r="U36" s="24">
        <f t="shared" si="2"/>
        <v>7</v>
      </c>
      <c r="V36" s="124">
        <f>SUM(U36:U38) / 3</f>
        <v>5.6111111111111107</v>
      </c>
      <c r="W36" s="30">
        <f t="shared" si="3"/>
        <v>7.666666666666667</v>
      </c>
      <c r="X36" s="112">
        <f>SUM(W36:W38) / 3</f>
        <v>6.1111111111111107</v>
      </c>
      <c r="Y36" s="24">
        <f t="shared" si="4"/>
        <v>6.333333333333333</v>
      </c>
      <c r="Z36" s="112">
        <f>SUM(Y36:Y38) / 3</f>
        <v>5.1111111111111107</v>
      </c>
      <c r="AA36" s="30">
        <f t="shared" si="5"/>
        <v>7</v>
      </c>
      <c r="AB36" s="112">
        <f>SUM(AA36:AA38) / 3</f>
        <v>6.666666666666667</v>
      </c>
      <c r="AC36" s="3"/>
    </row>
    <row r="37" spans="2:29" x14ac:dyDescent="0.25">
      <c r="B37" s="135"/>
      <c r="C37" s="75" t="s">
        <v>25</v>
      </c>
      <c r="D37" s="25">
        <v>4</v>
      </c>
      <c r="E37" s="6">
        <v>3</v>
      </c>
      <c r="F37" s="43">
        <v>5</v>
      </c>
      <c r="G37" s="25">
        <v>4</v>
      </c>
      <c r="H37" s="2">
        <v>8</v>
      </c>
      <c r="I37" s="2">
        <v>4</v>
      </c>
      <c r="J37" s="2">
        <v>5</v>
      </c>
      <c r="K37" s="2">
        <v>4</v>
      </c>
      <c r="L37" s="6">
        <v>4</v>
      </c>
      <c r="M37" s="65">
        <v>5</v>
      </c>
      <c r="N37" s="65"/>
      <c r="O37" s="25">
        <f t="shared" si="0"/>
        <v>4.5999999999999996</v>
      </c>
      <c r="P37" s="125"/>
      <c r="Q37" s="25">
        <f t="shared" si="6"/>
        <v>3.5</v>
      </c>
      <c r="R37" s="122"/>
      <c r="S37" s="25">
        <f t="shared" si="1"/>
        <v>5</v>
      </c>
      <c r="T37" s="122"/>
      <c r="U37" s="25">
        <f t="shared" si="2"/>
        <v>4.833333333333333</v>
      </c>
      <c r="V37" s="125"/>
      <c r="W37" s="31">
        <f t="shared" si="3"/>
        <v>5.333333333333333</v>
      </c>
      <c r="X37" s="112"/>
      <c r="Y37" s="25">
        <f t="shared" si="4"/>
        <v>4.333333333333333</v>
      </c>
      <c r="Z37" s="112"/>
      <c r="AA37" s="31">
        <f t="shared" si="5"/>
        <v>5</v>
      </c>
      <c r="AB37" s="112"/>
      <c r="AC37" s="3"/>
    </row>
    <row r="38" spans="2:29" ht="15.75" thickBot="1" x14ac:dyDescent="0.3">
      <c r="B38" s="135"/>
      <c r="C38" s="73" t="s">
        <v>26</v>
      </c>
      <c r="D38" s="25">
        <v>5</v>
      </c>
      <c r="E38" s="6">
        <v>4</v>
      </c>
      <c r="F38" s="43">
        <v>4</v>
      </c>
      <c r="G38" s="25">
        <v>5</v>
      </c>
      <c r="H38" s="2">
        <v>6</v>
      </c>
      <c r="I38" s="2">
        <v>5</v>
      </c>
      <c r="J38" s="2">
        <v>4</v>
      </c>
      <c r="K38" s="2">
        <v>5</v>
      </c>
      <c r="L38" s="6">
        <v>5</v>
      </c>
      <c r="M38" s="65">
        <v>8</v>
      </c>
      <c r="N38" s="83"/>
      <c r="O38" s="27">
        <f t="shared" si="0"/>
        <v>5.0999999999999996</v>
      </c>
      <c r="P38" s="132"/>
      <c r="Q38" s="27">
        <f t="shared" si="6"/>
        <v>4.5</v>
      </c>
      <c r="R38" s="122"/>
      <c r="S38" s="27">
        <f t="shared" si="1"/>
        <v>4</v>
      </c>
      <c r="T38" s="122"/>
      <c r="U38" s="27">
        <f t="shared" si="2"/>
        <v>5</v>
      </c>
      <c r="V38" s="132"/>
      <c r="W38" s="34">
        <f t="shared" si="3"/>
        <v>5.333333333333333</v>
      </c>
      <c r="X38" s="113"/>
      <c r="Y38" s="27">
        <f t="shared" si="4"/>
        <v>4.666666666666667</v>
      </c>
      <c r="Z38" s="113"/>
      <c r="AA38" s="34">
        <f t="shared" si="5"/>
        <v>8</v>
      </c>
      <c r="AB38" s="113"/>
      <c r="AC38" s="3"/>
    </row>
    <row r="39" spans="2:29" x14ac:dyDescent="0.25">
      <c r="B39" s="133" t="s">
        <v>46</v>
      </c>
      <c r="C39" s="71" t="s">
        <v>12</v>
      </c>
      <c r="D39" s="60">
        <v>9</v>
      </c>
      <c r="E39" s="57">
        <v>9</v>
      </c>
      <c r="F39" s="61">
        <v>8</v>
      </c>
      <c r="G39" s="60">
        <v>8</v>
      </c>
      <c r="H39" s="56">
        <v>7</v>
      </c>
      <c r="I39" s="56">
        <v>6</v>
      </c>
      <c r="J39" s="56">
        <v>9</v>
      </c>
      <c r="K39" s="56">
        <v>8</v>
      </c>
      <c r="L39" s="57">
        <v>8</v>
      </c>
      <c r="M39" s="80">
        <v>4</v>
      </c>
      <c r="N39" s="80"/>
      <c r="O39" s="60">
        <f t="shared" si="0"/>
        <v>7.6</v>
      </c>
      <c r="P39" s="129">
        <f>SUM(O39:O42) / 4</f>
        <v>10.1</v>
      </c>
      <c r="Q39" s="60">
        <f t="shared" si="6"/>
        <v>9</v>
      </c>
      <c r="R39" s="121">
        <f>SUM(Q39:Q42) / 4</f>
        <v>11</v>
      </c>
      <c r="S39" s="60">
        <f t="shared" si="1"/>
        <v>8</v>
      </c>
      <c r="T39" s="121">
        <f>SUM(S39:S42) / 4</f>
        <v>10.75</v>
      </c>
      <c r="U39" s="60">
        <f t="shared" si="2"/>
        <v>7.666666666666667</v>
      </c>
      <c r="V39" s="129">
        <f>SUM(U39:U42) / 4</f>
        <v>10.708333333333334</v>
      </c>
      <c r="W39" s="60">
        <f t="shared" si="3"/>
        <v>7</v>
      </c>
      <c r="X39" s="111">
        <f>SUM(W39:W42) / 4</f>
        <v>10.833333333333334</v>
      </c>
      <c r="Y39" s="60">
        <f t="shared" si="4"/>
        <v>8.3333333333333339</v>
      </c>
      <c r="Z39" s="111">
        <f>SUM(Y39:Y42) / 4</f>
        <v>10.583333333333334</v>
      </c>
      <c r="AA39" s="59">
        <f t="shared" si="5"/>
        <v>4</v>
      </c>
      <c r="AB39" s="111">
        <f>SUM(AA39:AA42) / 4</f>
        <v>4</v>
      </c>
      <c r="AC39" s="3"/>
    </row>
    <row r="40" spans="2:29" x14ac:dyDescent="0.25">
      <c r="B40" s="135"/>
      <c r="C40" s="75" t="s">
        <v>18</v>
      </c>
      <c r="D40" s="25">
        <v>7</v>
      </c>
      <c r="E40" s="6">
        <v>6</v>
      </c>
      <c r="F40" s="43">
        <v>6</v>
      </c>
      <c r="G40" s="25">
        <v>6</v>
      </c>
      <c r="H40" s="2">
        <v>9</v>
      </c>
      <c r="I40" s="2">
        <v>8</v>
      </c>
      <c r="J40" s="2">
        <v>7</v>
      </c>
      <c r="K40" s="2">
        <v>6</v>
      </c>
      <c r="L40" s="6">
        <v>6</v>
      </c>
      <c r="M40" s="65">
        <v>2</v>
      </c>
      <c r="N40" s="65"/>
      <c r="O40" s="25">
        <f t="shared" si="0"/>
        <v>6.3</v>
      </c>
      <c r="P40" s="125"/>
      <c r="Q40" s="25">
        <f t="shared" si="6"/>
        <v>6.5</v>
      </c>
      <c r="R40" s="122"/>
      <c r="S40" s="25">
        <f t="shared" si="1"/>
        <v>6</v>
      </c>
      <c r="T40" s="122"/>
      <c r="U40" s="25">
        <f t="shared" si="2"/>
        <v>7</v>
      </c>
      <c r="V40" s="125"/>
      <c r="W40" s="25">
        <f t="shared" si="3"/>
        <v>7.666666666666667</v>
      </c>
      <c r="X40" s="112"/>
      <c r="Y40" s="25">
        <f t="shared" si="4"/>
        <v>6.333333333333333</v>
      </c>
      <c r="Z40" s="112"/>
      <c r="AA40" s="31">
        <f t="shared" si="5"/>
        <v>2</v>
      </c>
      <c r="AB40" s="112"/>
      <c r="AC40" s="3"/>
    </row>
    <row r="41" spans="2:29" x14ac:dyDescent="0.25">
      <c r="B41" s="135"/>
      <c r="C41" s="75" t="s">
        <v>19</v>
      </c>
      <c r="D41" s="25">
        <v>12</v>
      </c>
      <c r="E41" s="6">
        <v>13</v>
      </c>
      <c r="F41" s="43">
        <v>13</v>
      </c>
      <c r="G41" s="25">
        <v>12</v>
      </c>
      <c r="H41" s="2">
        <v>14</v>
      </c>
      <c r="I41" s="2">
        <v>12</v>
      </c>
      <c r="J41" s="2">
        <v>12</v>
      </c>
      <c r="K41" s="2">
        <v>11</v>
      </c>
      <c r="L41" s="6">
        <v>12</v>
      </c>
      <c r="M41" s="65">
        <v>9</v>
      </c>
      <c r="N41" s="65"/>
      <c r="O41" s="25">
        <f t="shared" si="0"/>
        <v>12</v>
      </c>
      <c r="P41" s="125"/>
      <c r="Q41" s="25">
        <f t="shared" si="6"/>
        <v>12.5</v>
      </c>
      <c r="R41" s="122"/>
      <c r="S41" s="25">
        <f t="shared" si="1"/>
        <v>13</v>
      </c>
      <c r="T41" s="122"/>
      <c r="U41" s="25">
        <f t="shared" si="2"/>
        <v>12.166666666666666</v>
      </c>
      <c r="V41" s="125"/>
      <c r="W41" s="25">
        <f t="shared" si="3"/>
        <v>12.666666666666666</v>
      </c>
      <c r="X41" s="112"/>
      <c r="Y41" s="25">
        <f t="shared" si="4"/>
        <v>11.666666666666666</v>
      </c>
      <c r="Z41" s="112"/>
      <c r="AA41" s="31">
        <f t="shared" si="5"/>
        <v>9</v>
      </c>
      <c r="AB41" s="112"/>
      <c r="AC41" s="3"/>
    </row>
    <row r="42" spans="2:29" ht="15.75" thickBot="1" x14ac:dyDescent="0.3">
      <c r="B42" s="138"/>
      <c r="C42" s="72" t="s">
        <v>22</v>
      </c>
      <c r="D42" s="40">
        <v>16</v>
      </c>
      <c r="E42" s="9">
        <v>16</v>
      </c>
      <c r="F42" s="62">
        <v>16</v>
      </c>
      <c r="G42" s="40">
        <v>16</v>
      </c>
      <c r="H42" s="8">
        <v>16</v>
      </c>
      <c r="I42" s="8">
        <v>16</v>
      </c>
      <c r="J42" s="8">
        <v>16</v>
      </c>
      <c r="K42" s="8">
        <v>16</v>
      </c>
      <c r="L42" s="9">
        <v>16</v>
      </c>
      <c r="M42" s="81">
        <v>1</v>
      </c>
      <c r="N42" s="81"/>
      <c r="O42" s="40">
        <f t="shared" si="0"/>
        <v>14.5</v>
      </c>
      <c r="P42" s="126"/>
      <c r="Q42" s="40">
        <f t="shared" si="6"/>
        <v>16</v>
      </c>
      <c r="R42" s="123"/>
      <c r="S42" s="40">
        <f t="shared" si="1"/>
        <v>16</v>
      </c>
      <c r="T42" s="123"/>
      <c r="U42" s="40">
        <f t="shared" si="2"/>
        <v>16</v>
      </c>
      <c r="V42" s="126"/>
      <c r="W42" s="40">
        <f t="shared" si="3"/>
        <v>16</v>
      </c>
      <c r="X42" s="113"/>
      <c r="Y42" s="40">
        <f t="shared" si="4"/>
        <v>16</v>
      </c>
      <c r="Z42" s="113"/>
      <c r="AA42" s="52">
        <f t="shared" si="5"/>
        <v>1</v>
      </c>
      <c r="AB42" s="113"/>
      <c r="AC42" s="3"/>
    </row>
    <row r="43" spans="2:29" x14ac:dyDescent="0.25">
      <c r="B43" s="133" t="s">
        <v>47</v>
      </c>
      <c r="C43" s="71" t="s">
        <v>12</v>
      </c>
      <c r="D43" s="60">
        <v>9</v>
      </c>
      <c r="E43" s="57">
        <v>9</v>
      </c>
      <c r="F43" s="61">
        <v>8</v>
      </c>
      <c r="G43" s="60">
        <v>8</v>
      </c>
      <c r="H43" s="56">
        <v>6</v>
      </c>
      <c r="I43" s="56">
        <v>6</v>
      </c>
      <c r="J43" s="56">
        <v>6</v>
      </c>
      <c r="K43" s="56">
        <v>8</v>
      </c>
      <c r="L43" s="57">
        <v>8</v>
      </c>
      <c r="M43" s="80">
        <v>5</v>
      </c>
      <c r="N43" s="82"/>
      <c r="O43" s="24">
        <f t="shared" si="0"/>
        <v>7.3</v>
      </c>
      <c r="P43" s="124">
        <f>SUM(O43:O45) / 3</f>
        <v>8.6</v>
      </c>
      <c r="Q43" s="24">
        <f t="shared" si="6"/>
        <v>9</v>
      </c>
      <c r="R43" s="122">
        <f>SUM(Q43:Q45) / 3</f>
        <v>9.3333333333333339</v>
      </c>
      <c r="S43" s="24">
        <f t="shared" si="1"/>
        <v>8</v>
      </c>
      <c r="T43" s="122">
        <f>SUM(S43:S45) / 3</f>
        <v>9</v>
      </c>
      <c r="U43" s="60">
        <f t="shared" si="2"/>
        <v>7</v>
      </c>
      <c r="V43" s="129">
        <f>SUM(U43:U45) / 3</f>
        <v>8.7222222222222214</v>
      </c>
      <c r="W43" s="30">
        <f t="shared" si="3"/>
        <v>6.666666666666667</v>
      </c>
      <c r="X43" s="111">
        <f>SUM(W43:W45) / 3</f>
        <v>8.8888888888888875</v>
      </c>
      <c r="Y43" s="24">
        <f t="shared" si="4"/>
        <v>7.333333333333333</v>
      </c>
      <c r="Z43" s="111">
        <f>SUM(Y43:Y45) / 3</f>
        <v>8.5555555555555554</v>
      </c>
      <c r="AA43" s="30">
        <f t="shared" si="5"/>
        <v>5</v>
      </c>
      <c r="AB43" s="111">
        <f>SUM(AA43:AA45) / 3</f>
        <v>6</v>
      </c>
      <c r="AC43" s="3"/>
    </row>
    <row r="44" spans="2:29" x14ac:dyDescent="0.25">
      <c r="B44" s="135"/>
      <c r="C44" s="75" t="s">
        <v>18</v>
      </c>
      <c r="D44" s="25">
        <v>7</v>
      </c>
      <c r="E44" s="6">
        <v>6</v>
      </c>
      <c r="F44" s="43">
        <v>6</v>
      </c>
      <c r="G44" s="25">
        <v>6</v>
      </c>
      <c r="H44" s="2">
        <v>8</v>
      </c>
      <c r="I44" s="2">
        <v>8</v>
      </c>
      <c r="J44" s="2">
        <v>8</v>
      </c>
      <c r="K44" s="2">
        <v>6</v>
      </c>
      <c r="L44" s="6">
        <v>6</v>
      </c>
      <c r="M44" s="65">
        <v>2</v>
      </c>
      <c r="N44" s="65"/>
      <c r="O44" s="25">
        <f t="shared" si="0"/>
        <v>6.3</v>
      </c>
      <c r="P44" s="125"/>
      <c r="Q44" s="25">
        <f t="shared" si="6"/>
        <v>6.5</v>
      </c>
      <c r="R44" s="122"/>
      <c r="S44" s="25">
        <f t="shared" si="1"/>
        <v>6</v>
      </c>
      <c r="T44" s="122"/>
      <c r="U44" s="25">
        <f t="shared" si="2"/>
        <v>7</v>
      </c>
      <c r="V44" s="125"/>
      <c r="W44" s="31">
        <f t="shared" si="3"/>
        <v>7.333333333333333</v>
      </c>
      <c r="X44" s="112"/>
      <c r="Y44" s="25">
        <f t="shared" si="4"/>
        <v>6.666666666666667</v>
      </c>
      <c r="Z44" s="112"/>
      <c r="AA44" s="31">
        <f t="shared" si="5"/>
        <v>2</v>
      </c>
      <c r="AB44" s="112"/>
      <c r="AC44" s="3"/>
    </row>
    <row r="45" spans="2:29" ht="15.75" thickBot="1" x14ac:dyDescent="0.3">
      <c r="B45" s="138"/>
      <c r="C45" s="72" t="s">
        <v>19</v>
      </c>
      <c r="D45" s="40">
        <v>12</v>
      </c>
      <c r="E45" s="9">
        <v>13</v>
      </c>
      <c r="F45" s="62">
        <v>13</v>
      </c>
      <c r="G45" s="40">
        <v>12</v>
      </c>
      <c r="H45" s="8">
        <v>14</v>
      </c>
      <c r="I45" s="8">
        <v>12</v>
      </c>
      <c r="J45" s="8">
        <v>11</v>
      </c>
      <c r="K45" s="8">
        <v>12</v>
      </c>
      <c r="L45" s="9">
        <v>12</v>
      </c>
      <c r="M45" s="81">
        <v>11</v>
      </c>
      <c r="N45" s="83"/>
      <c r="O45" s="27">
        <f t="shared" si="0"/>
        <v>12.2</v>
      </c>
      <c r="P45" s="132"/>
      <c r="Q45" s="27">
        <f t="shared" si="6"/>
        <v>12.5</v>
      </c>
      <c r="R45" s="122"/>
      <c r="S45" s="27">
        <f t="shared" si="1"/>
        <v>13</v>
      </c>
      <c r="T45" s="122"/>
      <c r="U45" s="40">
        <f t="shared" si="2"/>
        <v>12.166666666666666</v>
      </c>
      <c r="V45" s="126"/>
      <c r="W45" s="34">
        <f t="shared" si="3"/>
        <v>12.666666666666666</v>
      </c>
      <c r="X45" s="113"/>
      <c r="Y45" s="27">
        <f t="shared" si="4"/>
        <v>11.666666666666666</v>
      </c>
      <c r="Z45" s="113"/>
      <c r="AA45" s="34">
        <f t="shared" si="5"/>
        <v>11</v>
      </c>
      <c r="AB45" s="113"/>
      <c r="AC45" s="3"/>
    </row>
    <row r="46" spans="2:29" ht="15.75" thickBot="1" x14ac:dyDescent="0.3">
      <c r="B46" s="90" t="s">
        <v>48</v>
      </c>
      <c r="C46" s="90" t="s">
        <v>22</v>
      </c>
      <c r="D46" s="28">
        <v>18</v>
      </c>
      <c r="E46" s="18">
        <v>18</v>
      </c>
      <c r="F46" s="91">
        <v>18</v>
      </c>
      <c r="G46" s="28">
        <v>18</v>
      </c>
      <c r="H46" s="17">
        <v>18</v>
      </c>
      <c r="I46" s="17">
        <v>18</v>
      </c>
      <c r="J46" s="17">
        <v>18</v>
      </c>
      <c r="K46" s="17">
        <v>18</v>
      </c>
      <c r="L46" s="18">
        <v>18</v>
      </c>
      <c r="M46" s="92">
        <v>1</v>
      </c>
      <c r="N46" s="92"/>
      <c r="O46" s="28">
        <f t="shared" si="0"/>
        <v>16.3</v>
      </c>
      <c r="P46" s="93">
        <f>SUM(O46:O46) / 1</f>
        <v>16.3</v>
      </c>
      <c r="Q46" s="28">
        <f t="shared" si="6"/>
        <v>18</v>
      </c>
      <c r="R46" s="94">
        <f>SUM(Q46:Q46) / 1</f>
        <v>18</v>
      </c>
      <c r="S46" s="28">
        <f t="shared" si="1"/>
        <v>18</v>
      </c>
      <c r="T46" s="94">
        <f>SUM(S46:S46) / 1</f>
        <v>18</v>
      </c>
      <c r="U46" s="28">
        <f t="shared" si="2"/>
        <v>18</v>
      </c>
      <c r="V46" s="93">
        <f>SUM(U46:U46) / 1</f>
        <v>18</v>
      </c>
      <c r="W46" s="28">
        <f t="shared" si="3"/>
        <v>18</v>
      </c>
      <c r="X46" s="93">
        <f>SUM(W46:W46) / 1</f>
        <v>18</v>
      </c>
      <c r="Y46" s="28">
        <f t="shared" si="4"/>
        <v>18</v>
      </c>
      <c r="Z46" s="93">
        <f>SUM(Y46:Y46) / 1</f>
        <v>18</v>
      </c>
      <c r="AA46" s="95">
        <f t="shared" si="5"/>
        <v>1</v>
      </c>
      <c r="AB46" s="96">
        <f>SUM(AA46:AA46) / 1</f>
        <v>1</v>
      </c>
    </row>
    <row r="47" spans="2:29" x14ac:dyDescent="0.25">
      <c r="B47" s="135" t="s">
        <v>43</v>
      </c>
      <c r="C47" s="74" t="s">
        <v>13</v>
      </c>
      <c r="D47" s="24">
        <v>11</v>
      </c>
      <c r="E47" s="11">
        <v>12</v>
      </c>
      <c r="F47" s="42">
        <v>12</v>
      </c>
      <c r="G47" s="24">
        <v>11</v>
      </c>
      <c r="H47" s="10">
        <v>12</v>
      </c>
      <c r="I47" s="10">
        <v>11</v>
      </c>
      <c r="J47" s="10">
        <v>13</v>
      </c>
      <c r="K47" s="10">
        <v>12</v>
      </c>
      <c r="L47" s="11">
        <v>11</v>
      </c>
      <c r="M47" s="82">
        <v>15</v>
      </c>
      <c r="N47" s="82"/>
      <c r="O47" s="24">
        <f t="shared" si="0"/>
        <v>12</v>
      </c>
      <c r="P47" s="124">
        <f>SUM(O47:O51) / 5</f>
        <v>7.3599999999999994</v>
      </c>
      <c r="Q47" s="24">
        <f t="shared" si="6"/>
        <v>11.5</v>
      </c>
      <c r="R47" s="122">
        <f>SUM(Q47:Q51) / 5</f>
        <v>6.1</v>
      </c>
      <c r="S47" s="24">
        <f t="shared" si="1"/>
        <v>12</v>
      </c>
      <c r="T47" s="122">
        <f>SUM(S47:S51) / 5</f>
        <v>7</v>
      </c>
      <c r="U47" s="24">
        <f t="shared" si="2"/>
        <v>11.666666666666666</v>
      </c>
      <c r="V47" s="124">
        <f>SUM(U47:U51) / 5</f>
        <v>6.7333333333333325</v>
      </c>
      <c r="W47" s="30">
        <f t="shared" si="3"/>
        <v>11.333333333333334</v>
      </c>
      <c r="X47" s="112">
        <f>SUM(W47:W51) / 5</f>
        <v>6.666666666666667</v>
      </c>
      <c r="Y47" s="24">
        <f t="shared" si="4"/>
        <v>12</v>
      </c>
      <c r="Z47" s="112">
        <f>SUM(Y47:Y51) / 5</f>
        <v>6.8</v>
      </c>
      <c r="AA47" s="30">
        <f t="shared" si="5"/>
        <v>15</v>
      </c>
      <c r="AB47" s="112">
        <f>SUM(AA47:AA51) / 5</f>
        <v>14</v>
      </c>
      <c r="AC47" s="3"/>
    </row>
    <row r="48" spans="2:29" x14ac:dyDescent="0.25">
      <c r="B48" s="135"/>
      <c r="C48" s="75" t="s">
        <v>16</v>
      </c>
      <c r="D48" s="25">
        <v>2</v>
      </c>
      <c r="E48" s="6">
        <v>2</v>
      </c>
      <c r="F48" s="43">
        <v>1</v>
      </c>
      <c r="G48" s="25">
        <v>2</v>
      </c>
      <c r="H48" s="2">
        <v>4</v>
      </c>
      <c r="I48" s="2">
        <v>1</v>
      </c>
      <c r="J48" s="2">
        <v>1</v>
      </c>
      <c r="K48" s="2">
        <v>1</v>
      </c>
      <c r="L48" s="6">
        <v>1</v>
      </c>
      <c r="M48" s="65">
        <v>14</v>
      </c>
      <c r="N48" s="65"/>
      <c r="O48" s="25">
        <f t="shared" si="0"/>
        <v>2.9</v>
      </c>
      <c r="P48" s="125"/>
      <c r="Q48" s="25">
        <f t="shared" si="6"/>
        <v>2</v>
      </c>
      <c r="R48" s="122"/>
      <c r="S48" s="25">
        <f t="shared" si="1"/>
        <v>1</v>
      </c>
      <c r="T48" s="122"/>
      <c r="U48" s="25">
        <f t="shared" si="2"/>
        <v>1.6666666666666667</v>
      </c>
      <c r="V48" s="125"/>
      <c r="W48" s="31">
        <f t="shared" si="3"/>
        <v>2.3333333333333335</v>
      </c>
      <c r="X48" s="112"/>
      <c r="Y48" s="25">
        <f t="shared" si="4"/>
        <v>1</v>
      </c>
      <c r="Z48" s="112"/>
      <c r="AA48" s="31">
        <f t="shared" si="5"/>
        <v>14</v>
      </c>
      <c r="AB48" s="112"/>
      <c r="AC48" s="3"/>
    </row>
    <row r="49" spans="2:29" x14ac:dyDescent="0.25">
      <c r="B49" s="135"/>
      <c r="C49" s="75" t="s">
        <v>17</v>
      </c>
      <c r="D49" s="25">
        <v>3</v>
      </c>
      <c r="E49" s="6">
        <v>4</v>
      </c>
      <c r="F49" s="43">
        <v>3</v>
      </c>
      <c r="G49" s="25">
        <v>3</v>
      </c>
      <c r="H49" s="2">
        <v>3</v>
      </c>
      <c r="I49" s="2">
        <v>3</v>
      </c>
      <c r="J49" s="2">
        <v>3</v>
      </c>
      <c r="K49" s="2">
        <v>3</v>
      </c>
      <c r="L49" s="6">
        <v>3</v>
      </c>
      <c r="M49" s="65">
        <v>13</v>
      </c>
      <c r="N49" s="65"/>
      <c r="O49" s="25">
        <f t="shared" si="0"/>
        <v>4.0999999999999996</v>
      </c>
      <c r="P49" s="125"/>
      <c r="Q49" s="25">
        <f t="shared" si="6"/>
        <v>3.5</v>
      </c>
      <c r="R49" s="122"/>
      <c r="S49" s="25">
        <f t="shared" si="1"/>
        <v>3</v>
      </c>
      <c r="T49" s="122"/>
      <c r="U49" s="25">
        <f t="shared" si="2"/>
        <v>3</v>
      </c>
      <c r="V49" s="125"/>
      <c r="W49" s="31">
        <f t="shared" si="3"/>
        <v>3</v>
      </c>
      <c r="X49" s="112"/>
      <c r="Y49" s="25">
        <f t="shared" si="4"/>
        <v>3</v>
      </c>
      <c r="Z49" s="112"/>
      <c r="AA49" s="31">
        <f t="shared" si="5"/>
        <v>13</v>
      </c>
      <c r="AB49" s="112"/>
      <c r="AC49" s="3"/>
    </row>
    <row r="50" spans="2:29" x14ac:dyDescent="0.25">
      <c r="B50" s="135"/>
      <c r="C50" s="75" t="s">
        <v>20</v>
      </c>
      <c r="D50" s="27">
        <v>10</v>
      </c>
      <c r="E50" s="16">
        <v>10</v>
      </c>
      <c r="F50" s="44">
        <v>10</v>
      </c>
      <c r="G50" s="27">
        <v>10</v>
      </c>
      <c r="H50" s="14">
        <v>13</v>
      </c>
      <c r="I50" s="14">
        <v>10</v>
      </c>
      <c r="J50" s="14">
        <v>10</v>
      </c>
      <c r="K50" s="14">
        <v>10</v>
      </c>
      <c r="L50" s="16">
        <v>10</v>
      </c>
      <c r="M50" s="83">
        <v>16</v>
      </c>
      <c r="N50" s="83"/>
      <c r="O50" s="25">
        <f t="shared" si="0"/>
        <v>10.9</v>
      </c>
      <c r="P50" s="125"/>
      <c r="Q50" s="25">
        <f t="shared" si="6"/>
        <v>10</v>
      </c>
      <c r="R50" s="122"/>
      <c r="S50" s="25">
        <f t="shared" si="1"/>
        <v>10</v>
      </c>
      <c r="T50" s="122"/>
      <c r="U50" s="25">
        <f t="shared" si="2"/>
        <v>10.5</v>
      </c>
      <c r="V50" s="125"/>
      <c r="W50" s="31">
        <f t="shared" si="3"/>
        <v>11</v>
      </c>
      <c r="X50" s="112"/>
      <c r="Y50" s="25">
        <f t="shared" si="4"/>
        <v>10</v>
      </c>
      <c r="Z50" s="112"/>
      <c r="AA50" s="31">
        <f t="shared" si="5"/>
        <v>16</v>
      </c>
      <c r="AB50" s="112"/>
      <c r="AC50" s="3"/>
    </row>
    <row r="51" spans="2:29" ht="15.75" thickBot="1" x14ac:dyDescent="0.3">
      <c r="B51" s="138"/>
      <c r="C51" s="72" t="s">
        <v>28</v>
      </c>
      <c r="D51" s="40">
        <v>6</v>
      </c>
      <c r="E51" s="9">
        <v>1</v>
      </c>
      <c r="F51" s="50">
        <v>9</v>
      </c>
      <c r="G51" s="40">
        <v>9</v>
      </c>
      <c r="H51" s="8">
        <v>1</v>
      </c>
      <c r="I51" s="8">
        <v>7</v>
      </c>
      <c r="J51" s="8">
        <v>6</v>
      </c>
      <c r="K51" s="8">
        <v>9</v>
      </c>
      <c r="L51" s="9">
        <v>9</v>
      </c>
      <c r="M51" s="81">
        <v>12</v>
      </c>
      <c r="N51" s="81"/>
      <c r="O51" s="40">
        <f t="shared" si="0"/>
        <v>6.9</v>
      </c>
      <c r="P51" s="126"/>
      <c r="Q51" s="27">
        <f t="shared" si="6"/>
        <v>3.5</v>
      </c>
      <c r="R51" s="122"/>
      <c r="S51" s="27">
        <f t="shared" si="1"/>
        <v>9</v>
      </c>
      <c r="T51" s="122"/>
      <c r="U51" s="40">
        <f t="shared" si="2"/>
        <v>6.833333333333333</v>
      </c>
      <c r="V51" s="126"/>
      <c r="W51" s="34">
        <f t="shared" si="3"/>
        <v>5.666666666666667</v>
      </c>
      <c r="X51" s="113"/>
      <c r="Y51" s="27">
        <f t="shared" si="4"/>
        <v>8</v>
      </c>
      <c r="Z51" s="113"/>
      <c r="AA51" s="34">
        <f t="shared" si="5"/>
        <v>12</v>
      </c>
      <c r="AB51" s="113"/>
      <c r="AC51" s="3"/>
    </row>
    <row r="52" spans="2:29" x14ac:dyDescent="0.25">
      <c r="B52" s="133" t="s">
        <v>44</v>
      </c>
      <c r="C52" s="71" t="s">
        <v>13</v>
      </c>
      <c r="D52" s="60">
        <v>11</v>
      </c>
      <c r="E52" s="57">
        <v>12</v>
      </c>
      <c r="F52" s="61">
        <v>12</v>
      </c>
      <c r="G52" s="60">
        <v>11</v>
      </c>
      <c r="H52" s="56">
        <v>12</v>
      </c>
      <c r="I52" s="56">
        <v>11</v>
      </c>
      <c r="J52" s="56">
        <v>13</v>
      </c>
      <c r="K52" s="56">
        <v>12</v>
      </c>
      <c r="L52" s="57">
        <v>11</v>
      </c>
      <c r="M52" s="80">
        <v>15</v>
      </c>
      <c r="N52" s="80"/>
      <c r="O52" s="60">
        <f t="shared" si="0"/>
        <v>12</v>
      </c>
      <c r="P52" s="129">
        <f>SUM(O52:O55) / 4</f>
        <v>7.4749999999999996</v>
      </c>
      <c r="Q52" s="60">
        <f t="shared" si="6"/>
        <v>11.5</v>
      </c>
      <c r="R52" s="121">
        <f>SUM(Q52:Q55) / 4</f>
        <v>6.75</v>
      </c>
      <c r="S52" s="60">
        <f t="shared" si="1"/>
        <v>12</v>
      </c>
      <c r="T52" s="121">
        <f>SUM(S52:S55) / 4</f>
        <v>6.5</v>
      </c>
      <c r="U52" s="60">
        <f t="shared" si="2"/>
        <v>11.666666666666666</v>
      </c>
      <c r="V52" s="129">
        <f>SUM(U52:U55) / 4</f>
        <v>6.708333333333333</v>
      </c>
      <c r="W52" s="60">
        <f t="shared" si="3"/>
        <v>11.333333333333334</v>
      </c>
      <c r="X52" s="111">
        <f>SUM(W52:W55) / 4</f>
        <v>6.916666666666667</v>
      </c>
      <c r="Y52" s="60">
        <f t="shared" si="4"/>
        <v>12</v>
      </c>
      <c r="Z52" s="111">
        <f>SUM(Y52:Y55) / 4</f>
        <v>6.5</v>
      </c>
      <c r="AA52" s="59">
        <f t="shared" si="5"/>
        <v>15</v>
      </c>
      <c r="AB52" s="111">
        <f>SUM(AA52:AA55) / 4</f>
        <v>14.5</v>
      </c>
      <c r="AC52" s="3"/>
    </row>
    <row r="53" spans="2:29" x14ac:dyDescent="0.25">
      <c r="B53" s="135"/>
      <c r="C53" s="75" t="s">
        <v>16</v>
      </c>
      <c r="D53" s="25">
        <v>2</v>
      </c>
      <c r="E53" s="6">
        <v>2</v>
      </c>
      <c r="F53" s="43">
        <v>1</v>
      </c>
      <c r="G53" s="25">
        <v>2</v>
      </c>
      <c r="H53" s="2">
        <v>4</v>
      </c>
      <c r="I53" s="2">
        <v>1</v>
      </c>
      <c r="J53" s="2">
        <v>1</v>
      </c>
      <c r="K53" s="2">
        <v>1</v>
      </c>
      <c r="L53" s="6">
        <v>1</v>
      </c>
      <c r="M53" s="65">
        <v>14</v>
      </c>
      <c r="N53" s="65"/>
      <c r="O53" s="25">
        <f t="shared" si="0"/>
        <v>2.9</v>
      </c>
      <c r="P53" s="125"/>
      <c r="Q53" s="25">
        <f t="shared" si="6"/>
        <v>2</v>
      </c>
      <c r="R53" s="122"/>
      <c r="S53" s="25">
        <f t="shared" si="1"/>
        <v>1</v>
      </c>
      <c r="T53" s="122"/>
      <c r="U53" s="25">
        <f t="shared" si="2"/>
        <v>1.6666666666666667</v>
      </c>
      <c r="V53" s="125"/>
      <c r="W53" s="25">
        <f t="shared" si="3"/>
        <v>2.3333333333333335</v>
      </c>
      <c r="X53" s="112"/>
      <c r="Y53" s="25">
        <f t="shared" si="4"/>
        <v>1</v>
      </c>
      <c r="Z53" s="112"/>
      <c r="AA53" s="31">
        <f t="shared" si="5"/>
        <v>14</v>
      </c>
      <c r="AB53" s="112"/>
      <c r="AC53" s="3"/>
    </row>
    <row r="54" spans="2:29" x14ac:dyDescent="0.25">
      <c r="B54" s="135"/>
      <c r="C54" s="75" t="s">
        <v>17</v>
      </c>
      <c r="D54" s="25">
        <v>3</v>
      </c>
      <c r="E54" s="6">
        <v>4</v>
      </c>
      <c r="F54" s="43">
        <v>3</v>
      </c>
      <c r="G54" s="25">
        <v>3</v>
      </c>
      <c r="H54" s="2">
        <v>3</v>
      </c>
      <c r="I54" s="2">
        <v>3</v>
      </c>
      <c r="J54" s="2">
        <v>3</v>
      </c>
      <c r="K54" s="2">
        <v>3</v>
      </c>
      <c r="L54" s="6">
        <v>3</v>
      </c>
      <c r="M54" s="65">
        <v>13</v>
      </c>
      <c r="N54" s="65"/>
      <c r="O54" s="25">
        <f t="shared" si="0"/>
        <v>4.0999999999999996</v>
      </c>
      <c r="P54" s="125"/>
      <c r="Q54" s="25">
        <f t="shared" si="6"/>
        <v>3.5</v>
      </c>
      <c r="R54" s="122"/>
      <c r="S54" s="25">
        <f t="shared" si="1"/>
        <v>3</v>
      </c>
      <c r="T54" s="122"/>
      <c r="U54" s="25">
        <f t="shared" si="2"/>
        <v>3</v>
      </c>
      <c r="V54" s="125"/>
      <c r="W54" s="25">
        <f t="shared" si="3"/>
        <v>3</v>
      </c>
      <c r="X54" s="112"/>
      <c r="Y54" s="25">
        <f t="shared" si="4"/>
        <v>3</v>
      </c>
      <c r="Z54" s="112"/>
      <c r="AA54" s="31">
        <f t="shared" si="5"/>
        <v>13</v>
      </c>
      <c r="AB54" s="112"/>
      <c r="AC54" s="3"/>
    </row>
    <row r="55" spans="2:29" ht="15.75" thickBot="1" x14ac:dyDescent="0.3">
      <c r="B55" s="138"/>
      <c r="C55" s="72" t="s">
        <v>20</v>
      </c>
      <c r="D55" s="40">
        <v>10</v>
      </c>
      <c r="E55" s="9">
        <v>10</v>
      </c>
      <c r="F55" s="62">
        <v>10</v>
      </c>
      <c r="G55" s="40">
        <v>10</v>
      </c>
      <c r="H55" s="8">
        <v>13</v>
      </c>
      <c r="I55" s="8">
        <v>10</v>
      </c>
      <c r="J55" s="8">
        <v>10</v>
      </c>
      <c r="K55" s="8">
        <v>10</v>
      </c>
      <c r="L55" s="9">
        <v>10</v>
      </c>
      <c r="M55" s="81">
        <v>16</v>
      </c>
      <c r="N55" s="81"/>
      <c r="O55" s="40">
        <f t="shared" si="0"/>
        <v>10.9</v>
      </c>
      <c r="P55" s="126"/>
      <c r="Q55" s="40">
        <f t="shared" si="6"/>
        <v>10</v>
      </c>
      <c r="R55" s="123"/>
      <c r="S55" s="40">
        <f t="shared" si="1"/>
        <v>10</v>
      </c>
      <c r="T55" s="123"/>
      <c r="U55" s="40">
        <f t="shared" si="2"/>
        <v>10.5</v>
      </c>
      <c r="V55" s="126"/>
      <c r="W55" s="40">
        <f t="shared" si="3"/>
        <v>11</v>
      </c>
      <c r="X55" s="113"/>
      <c r="Y55" s="40">
        <f t="shared" si="4"/>
        <v>10</v>
      </c>
      <c r="Z55" s="113"/>
      <c r="AA55" s="52">
        <f t="shared" si="5"/>
        <v>16</v>
      </c>
      <c r="AB55" s="113"/>
      <c r="AC55" s="3"/>
    </row>
    <row r="56" spans="2:29" x14ac:dyDescent="0.25">
      <c r="B56" s="135" t="s">
        <v>56</v>
      </c>
      <c r="C56" s="74" t="s">
        <v>16</v>
      </c>
      <c r="D56" s="24">
        <v>2</v>
      </c>
      <c r="E56" s="11">
        <v>2</v>
      </c>
      <c r="F56" s="42">
        <v>1</v>
      </c>
      <c r="G56" s="24">
        <v>2</v>
      </c>
      <c r="H56" s="10">
        <v>4</v>
      </c>
      <c r="I56" s="10">
        <v>1</v>
      </c>
      <c r="J56" s="10">
        <v>1</v>
      </c>
      <c r="K56" s="10">
        <v>1</v>
      </c>
      <c r="L56" s="11">
        <v>1</v>
      </c>
      <c r="M56" s="82">
        <v>14</v>
      </c>
      <c r="N56" s="82"/>
      <c r="O56" s="24">
        <f t="shared" si="0"/>
        <v>2.9</v>
      </c>
      <c r="P56" s="127">
        <f>SUM(O56:O57) / 2</f>
        <v>3.5</v>
      </c>
      <c r="Q56" s="24">
        <f t="shared" si="6"/>
        <v>2</v>
      </c>
      <c r="R56" s="137">
        <f>SUM(Q56:Q57) / 2</f>
        <v>2.75</v>
      </c>
      <c r="S56" s="24">
        <f t="shared" si="1"/>
        <v>1</v>
      </c>
      <c r="T56" s="137">
        <f>SUM(S56:S57) / 2</f>
        <v>2</v>
      </c>
      <c r="U56" s="24">
        <f t="shared" si="2"/>
        <v>1.6666666666666667</v>
      </c>
      <c r="V56" s="127">
        <f>SUM(U56:U57) / 2</f>
        <v>2.3333333333333335</v>
      </c>
      <c r="W56" s="30">
        <f t="shared" si="3"/>
        <v>2.3333333333333335</v>
      </c>
      <c r="X56" s="116">
        <f>SUM(W56:W57) / 2</f>
        <v>2.666666666666667</v>
      </c>
      <c r="Y56" s="24">
        <f t="shared" si="4"/>
        <v>1</v>
      </c>
      <c r="Z56" s="116">
        <f>SUM(Y56:Y57) / 2</f>
        <v>2</v>
      </c>
      <c r="AA56" s="30">
        <f t="shared" si="5"/>
        <v>14</v>
      </c>
      <c r="AB56" s="112">
        <f>SUM(AA56:AA57) / 2</f>
        <v>13.5</v>
      </c>
      <c r="AC56" s="3"/>
    </row>
    <row r="57" spans="2:29" ht="15.75" thickBot="1" x14ac:dyDescent="0.3">
      <c r="B57" s="135"/>
      <c r="C57" s="73" t="s">
        <v>17</v>
      </c>
      <c r="D57" s="27">
        <v>3</v>
      </c>
      <c r="E57" s="16">
        <v>4</v>
      </c>
      <c r="F57" s="44">
        <v>3</v>
      </c>
      <c r="G57" s="27">
        <v>3</v>
      </c>
      <c r="H57" s="14">
        <v>3</v>
      </c>
      <c r="I57" s="14">
        <v>3</v>
      </c>
      <c r="J57" s="14">
        <v>3</v>
      </c>
      <c r="K57" s="14">
        <v>3</v>
      </c>
      <c r="L57" s="16">
        <v>3</v>
      </c>
      <c r="M57" s="83">
        <v>13</v>
      </c>
      <c r="N57" s="83"/>
      <c r="O57" s="27">
        <f t="shared" si="0"/>
        <v>4.0999999999999996</v>
      </c>
      <c r="P57" s="128"/>
      <c r="Q57" s="27">
        <f t="shared" si="6"/>
        <v>3.5</v>
      </c>
      <c r="R57" s="137"/>
      <c r="S57" s="27">
        <f t="shared" si="1"/>
        <v>3</v>
      </c>
      <c r="T57" s="137"/>
      <c r="U57" s="27">
        <f t="shared" si="2"/>
        <v>3</v>
      </c>
      <c r="V57" s="128"/>
      <c r="W57" s="34">
        <f t="shared" si="3"/>
        <v>3</v>
      </c>
      <c r="X57" s="116"/>
      <c r="Y57" s="27">
        <f t="shared" si="4"/>
        <v>3</v>
      </c>
      <c r="Z57" s="116"/>
      <c r="AA57" s="34">
        <f t="shared" si="5"/>
        <v>13</v>
      </c>
      <c r="AB57" s="112"/>
      <c r="AC57" s="3"/>
    </row>
    <row r="58" spans="2:29" x14ac:dyDescent="0.25">
      <c r="B58" s="133" t="s">
        <v>57</v>
      </c>
      <c r="C58" s="71" t="s">
        <v>13</v>
      </c>
      <c r="D58" s="60">
        <v>11</v>
      </c>
      <c r="E58" s="57">
        <v>12</v>
      </c>
      <c r="F58" s="61">
        <v>12</v>
      </c>
      <c r="G58" s="60">
        <v>11</v>
      </c>
      <c r="H58" s="56">
        <v>12</v>
      </c>
      <c r="I58" s="56">
        <v>11</v>
      </c>
      <c r="J58" s="56">
        <v>13</v>
      </c>
      <c r="K58" s="56">
        <v>12</v>
      </c>
      <c r="L58" s="57">
        <v>11</v>
      </c>
      <c r="M58" s="80">
        <v>15</v>
      </c>
      <c r="N58" s="80"/>
      <c r="O58" s="60">
        <f t="shared" si="0"/>
        <v>12</v>
      </c>
      <c r="P58" s="129">
        <f>SUM(O58:O59) / 2</f>
        <v>11.45</v>
      </c>
      <c r="Q58" s="60">
        <f t="shared" si="6"/>
        <v>11.5</v>
      </c>
      <c r="R58" s="121">
        <f>SUM(Q58:Q59) / 2</f>
        <v>10.75</v>
      </c>
      <c r="S58" s="60">
        <f t="shared" si="1"/>
        <v>12</v>
      </c>
      <c r="T58" s="121">
        <f>SUM(S58:S59) / 2</f>
        <v>11</v>
      </c>
      <c r="U58" s="60">
        <f t="shared" si="2"/>
        <v>11.666666666666666</v>
      </c>
      <c r="V58" s="129">
        <f>SUM(U58:U59) / 2</f>
        <v>11.083333333333332</v>
      </c>
      <c r="W58" s="60">
        <f t="shared" si="3"/>
        <v>11.333333333333334</v>
      </c>
      <c r="X58" s="111">
        <f>SUM(W58:W59) / 2</f>
        <v>11.166666666666668</v>
      </c>
      <c r="Y58" s="60">
        <f t="shared" si="4"/>
        <v>12</v>
      </c>
      <c r="Z58" s="111">
        <f>SUM(Y58:Y59) / 2</f>
        <v>11</v>
      </c>
      <c r="AA58" s="59">
        <f t="shared" si="5"/>
        <v>15</v>
      </c>
      <c r="AB58" s="114">
        <f>SUM(AA58:AA59) / 2</f>
        <v>15.5</v>
      </c>
    </row>
    <row r="59" spans="2:29" ht="15.75" thickBot="1" x14ac:dyDescent="0.3">
      <c r="B59" s="138"/>
      <c r="C59" s="72" t="s">
        <v>20</v>
      </c>
      <c r="D59" s="40">
        <v>10</v>
      </c>
      <c r="E59" s="9">
        <v>10</v>
      </c>
      <c r="F59" s="62">
        <v>10</v>
      </c>
      <c r="G59" s="40">
        <v>10</v>
      </c>
      <c r="H59" s="8">
        <v>13</v>
      </c>
      <c r="I59" s="8">
        <v>10</v>
      </c>
      <c r="J59" s="8">
        <v>10</v>
      </c>
      <c r="K59" s="8">
        <v>10</v>
      </c>
      <c r="L59" s="9">
        <v>10</v>
      </c>
      <c r="M59" s="81">
        <v>16</v>
      </c>
      <c r="N59" s="81"/>
      <c r="O59" s="40">
        <f t="shared" si="0"/>
        <v>10.9</v>
      </c>
      <c r="P59" s="126"/>
      <c r="Q59" s="40">
        <f t="shared" si="6"/>
        <v>10</v>
      </c>
      <c r="R59" s="123"/>
      <c r="S59" s="40">
        <f t="shared" si="1"/>
        <v>10</v>
      </c>
      <c r="T59" s="123"/>
      <c r="U59" s="40">
        <f t="shared" si="2"/>
        <v>10.5</v>
      </c>
      <c r="V59" s="126"/>
      <c r="W59" s="40">
        <f t="shared" si="3"/>
        <v>11</v>
      </c>
      <c r="X59" s="113"/>
      <c r="Y59" s="40">
        <f t="shared" si="4"/>
        <v>10</v>
      </c>
      <c r="Z59" s="113"/>
      <c r="AA59" s="52">
        <f t="shared" si="5"/>
        <v>16</v>
      </c>
      <c r="AB59" s="115"/>
    </row>
    <row r="60" spans="2:29" ht="15.75" thickBot="1" x14ac:dyDescent="0.3">
      <c r="B60" s="55" t="s">
        <v>45</v>
      </c>
      <c r="C60" s="55" t="s">
        <v>28</v>
      </c>
      <c r="D60" s="78">
        <v>6</v>
      </c>
      <c r="E60" s="70">
        <v>1</v>
      </c>
      <c r="F60" s="97">
        <v>9</v>
      </c>
      <c r="G60" s="78">
        <v>9</v>
      </c>
      <c r="H60" s="98">
        <v>1</v>
      </c>
      <c r="I60" s="98">
        <v>7</v>
      </c>
      <c r="J60" s="98">
        <v>6</v>
      </c>
      <c r="K60" s="98">
        <v>9</v>
      </c>
      <c r="L60" s="70">
        <v>9</v>
      </c>
      <c r="M60" s="77">
        <v>12</v>
      </c>
      <c r="N60" s="77"/>
      <c r="O60" s="78">
        <f t="shared" si="0"/>
        <v>6.9</v>
      </c>
      <c r="P60" s="70">
        <f>SUM(O60) / 1</f>
        <v>6.9</v>
      </c>
      <c r="Q60" s="78">
        <f t="shared" si="6"/>
        <v>3.5</v>
      </c>
      <c r="R60" s="69">
        <f>SUM(Q60) / 1</f>
        <v>3.5</v>
      </c>
      <c r="S60" s="78">
        <f t="shared" si="1"/>
        <v>9</v>
      </c>
      <c r="T60" s="69">
        <f>SUM(S60) / 1</f>
        <v>9</v>
      </c>
      <c r="U60" s="78">
        <f t="shared" si="2"/>
        <v>6.833333333333333</v>
      </c>
      <c r="V60" s="70">
        <f>SUM(U60) / 1</f>
        <v>6.833333333333333</v>
      </c>
      <c r="W60" s="68">
        <f t="shared" si="3"/>
        <v>5.666666666666667</v>
      </c>
      <c r="X60" s="69">
        <f>SUM(W60) / 1</f>
        <v>5.666666666666667</v>
      </c>
      <c r="Y60" s="78">
        <f t="shared" si="4"/>
        <v>8</v>
      </c>
      <c r="Z60" s="70">
        <f>SUM(Y60) / 1</f>
        <v>8</v>
      </c>
      <c r="AA60" s="68">
        <f t="shared" si="5"/>
        <v>12</v>
      </c>
      <c r="AB60" s="70">
        <f>SUM(AA60) / 1</f>
        <v>12</v>
      </c>
      <c r="AC60" s="3"/>
    </row>
    <row r="61" spans="2:29" ht="15.75" thickBot="1" x14ac:dyDescent="0.3"/>
    <row r="62" spans="2:29" ht="30.75" thickBot="1" x14ac:dyDescent="0.3">
      <c r="B62" s="66" t="s">
        <v>63</v>
      </c>
      <c r="C62" s="84" t="s">
        <v>58</v>
      </c>
      <c r="F62" s="66" t="s">
        <v>0</v>
      </c>
      <c r="G62" s="87" t="s">
        <v>59</v>
      </c>
      <c r="H62" s="58" t="s">
        <v>60</v>
      </c>
      <c r="I62" s="88" t="s">
        <v>61</v>
      </c>
    </row>
    <row r="63" spans="2:29" x14ac:dyDescent="0.25">
      <c r="B63" s="37" t="s">
        <v>39</v>
      </c>
      <c r="C63" s="76">
        <f>AVERAGEIF(B26:B60, "HCA", P26:P60)</f>
        <v>7.5</v>
      </c>
      <c r="F63" s="37" t="s">
        <v>11</v>
      </c>
      <c r="G63" s="30"/>
      <c r="H63" s="10"/>
      <c r="I63" s="11"/>
    </row>
    <row r="64" spans="2:29" x14ac:dyDescent="0.25">
      <c r="B64" s="35" t="s">
        <v>40</v>
      </c>
      <c r="C64" s="63">
        <f>AVERAGEIF(B27:B61, "Clúster", P27:P61)</f>
        <v>7.3000000000000007</v>
      </c>
      <c r="F64" s="35" t="s">
        <v>12</v>
      </c>
      <c r="G64" s="31"/>
      <c r="H64" s="2"/>
      <c r="I64" s="6"/>
    </row>
    <row r="65" spans="2:9" x14ac:dyDescent="0.25">
      <c r="B65" s="35" t="s">
        <v>41</v>
      </c>
      <c r="C65" s="63">
        <f ca="1">AVERAGEIF(B28:B62, "Cíclicas", P28:P61)</f>
        <v>13.350000000000001</v>
      </c>
      <c r="F65" s="35" t="s">
        <v>13</v>
      </c>
      <c r="G65" s="31"/>
      <c r="H65" s="2"/>
      <c r="I65" s="6"/>
    </row>
    <row r="66" spans="2:9" x14ac:dyDescent="0.25">
      <c r="B66" s="35" t="s">
        <v>42</v>
      </c>
      <c r="C66" s="63">
        <f ca="1">AVERAGEIF(B29:B63, "Urgencia", P29:P61)</f>
        <v>5.5333333333333341</v>
      </c>
      <c r="F66" s="35" t="s">
        <v>14</v>
      </c>
      <c r="G66" s="31"/>
      <c r="H66" s="2"/>
      <c r="I66" s="6"/>
    </row>
    <row r="67" spans="2:9" x14ac:dyDescent="0.25">
      <c r="B67" s="35" t="s">
        <v>46</v>
      </c>
      <c r="C67" s="63">
        <f ca="1">AVERAGEIF(B30:B64, "Otros enfoques", P30:P61)</f>
        <v>10.1</v>
      </c>
      <c r="F67" s="35" t="s">
        <v>15</v>
      </c>
      <c r="G67" s="31"/>
      <c r="H67" s="2"/>
      <c r="I67" s="6"/>
    </row>
    <row r="68" spans="2:9" x14ac:dyDescent="0.25">
      <c r="B68" s="35" t="s">
        <v>47</v>
      </c>
      <c r="C68" s="63">
        <f ca="1">AVERAGEIF(B31:B65, "Distancias", P31:P61)</f>
        <v>8.6</v>
      </c>
      <c r="F68" s="35" t="s">
        <v>16</v>
      </c>
      <c r="H68" s="2"/>
      <c r="I68" s="6"/>
    </row>
    <row r="69" spans="2:9" x14ac:dyDescent="0.25">
      <c r="B69" s="35" t="s">
        <v>48</v>
      </c>
      <c r="C69" s="85">
        <f ca="1">AVERAGEIF(B32:B66, "Aleatorias", P32:P61)</f>
        <v>16.3</v>
      </c>
      <c r="F69" s="35" t="s">
        <v>17</v>
      </c>
      <c r="G69" s="31"/>
      <c r="I69" s="6"/>
    </row>
    <row r="70" spans="2:9" x14ac:dyDescent="0.25">
      <c r="B70" s="35" t="s">
        <v>43</v>
      </c>
      <c r="C70" s="63">
        <f ca="1">AVERAGEIF(B33:B67, "AA", P33:P61)</f>
        <v>7.3599999999999994</v>
      </c>
      <c r="F70" s="35" t="s">
        <v>18</v>
      </c>
      <c r="G70" s="31"/>
      <c r="H70" s="2"/>
      <c r="I70" s="6"/>
    </row>
    <row r="71" spans="2:9" x14ac:dyDescent="0.25">
      <c r="B71" s="35" t="s">
        <v>44</v>
      </c>
      <c r="C71" s="63">
        <f ca="1">AVERAGEIF(B34:B68, "Particionales", P34:P61)</f>
        <v>7.4749999999999996</v>
      </c>
      <c r="F71" s="35" t="s">
        <v>19</v>
      </c>
      <c r="G71" s="31"/>
      <c r="H71" s="2"/>
      <c r="I71" s="6"/>
    </row>
    <row r="72" spans="2:9" x14ac:dyDescent="0.25">
      <c r="B72" s="35" t="s">
        <v>56</v>
      </c>
      <c r="C72" s="86">
        <f ca="1">AVERAGEIF(B35:B69, "Por centroides", P35:P61)</f>
        <v>3.5</v>
      </c>
      <c r="F72" s="35" t="s">
        <v>20</v>
      </c>
      <c r="G72" s="31"/>
      <c r="H72" s="2"/>
      <c r="I72" s="6"/>
    </row>
    <row r="73" spans="2:9" x14ac:dyDescent="0.25">
      <c r="B73" s="35" t="s">
        <v>57</v>
      </c>
      <c r="C73" s="63">
        <f ca="1">AVERAGEIF(B36:B70, "Por medoides", P36:P61)</f>
        <v>11.45</v>
      </c>
      <c r="F73" s="35" t="s">
        <v>21</v>
      </c>
      <c r="G73" s="31"/>
      <c r="H73" s="2"/>
      <c r="I73" s="6"/>
    </row>
    <row r="74" spans="2:9" ht="15.75" thickBot="1" x14ac:dyDescent="0.3">
      <c r="B74" s="36" t="s">
        <v>45</v>
      </c>
      <c r="C74" s="64">
        <f ca="1">AVERAGEIF(B36:B71, "Jerárquicas", P36:P61)</f>
        <v>6.9</v>
      </c>
      <c r="F74" s="35" t="s">
        <v>22</v>
      </c>
      <c r="G74" s="31"/>
      <c r="H74" s="2"/>
      <c r="I74" s="89"/>
    </row>
    <row r="75" spans="2:9" x14ac:dyDescent="0.25">
      <c r="F75" s="35" t="s">
        <v>23</v>
      </c>
      <c r="G75" s="31"/>
      <c r="H75" s="2"/>
      <c r="I75" s="6"/>
    </row>
    <row r="76" spans="2:9" x14ac:dyDescent="0.25">
      <c r="F76" s="35" t="s">
        <v>24</v>
      </c>
      <c r="G76" s="31"/>
      <c r="H76" s="2"/>
      <c r="I76" s="6"/>
    </row>
    <row r="77" spans="2:9" x14ac:dyDescent="0.25">
      <c r="F77" s="35" t="s">
        <v>25</v>
      </c>
      <c r="G77" s="31"/>
      <c r="H77" s="2"/>
      <c r="I77" s="6"/>
    </row>
    <row r="78" spans="2:9" x14ac:dyDescent="0.25">
      <c r="F78" s="35" t="s">
        <v>26</v>
      </c>
      <c r="G78" s="31"/>
      <c r="H78" s="2"/>
      <c r="I78" s="6"/>
    </row>
    <row r="79" spans="2:9" x14ac:dyDescent="0.25">
      <c r="F79" s="35" t="s">
        <v>27</v>
      </c>
      <c r="G79" s="31"/>
      <c r="H79" s="2"/>
      <c r="I79" s="6"/>
    </row>
    <row r="80" spans="2:9" ht="15.75" thickBot="1" x14ac:dyDescent="0.3">
      <c r="F80" s="36" t="s">
        <v>28</v>
      </c>
      <c r="G80" s="52"/>
      <c r="H80" s="8"/>
      <c r="I80" s="9"/>
    </row>
  </sheetData>
  <mergeCells count="117">
    <mergeCell ref="C2:C4"/>
    <mergeCell ref="N2:N4"/>
    <mergeCell ref="C21:N21"/>
    <mergeCell ref="M2:M4"/>
    <mergeCell ref="O2:O4"/>
    <mergeCell ref="P2:P4"/>
    <mergeCell ref="R2:R4"/>
    <mergeCell ref="S2:T3"/>
    <mergeCell ref="D2:E3"/>
    <mergeCell ref="F2:F3"/>
    <mergeCell ref="G2:L2"/>
    <mergeCell ref="G3:I3"/>
    <mergeCell ref="J3:L3"/>
    <mergeCell ref="U2:U3"/>
    <mergeCell ref="V2:AA2"/>
    <mergeCell ref="AB2:AB4"/>
    <mergeCell ref="AD2:AD4"/>
    <mergeCell ref="AE2:AE4"/>
    <mergeCell ref="V3:X3"/>
    <mergeCell ref="Y3:AA3"/>
    <mergeCell ref="AC2:AC4"/>
    <mergeCell ref="R21:AC21"/>
    <mergeCell ref="B23:B25"/>
    <mergeCell ref="C23:C25"/>
    <mergeCell ref="B34:B35"/>
    <mergeCell ref="B36:B38"/>
    <mergeCell ref="D23:E24"/>
    <mergeCell ref="F23:F24"/>
    <mergeCell ref="G23:L23"/>
    <mergeCell ref="M23:M25"/>
    <mergeCell ref="G24:I24"/>
    <mergeCell ref="J24:L24"/>
    <mergeCell ref="T52:T55"/>
    <mergeCell ref="T56:T57"/>
    <mergeCell ref="T58:T59"/>
    <mergeCell ref="R47:R51"/>
    <mergeCell ref="R52:R55"/>
    <mergeCell ref="R56:R57"/>
    <mergeCell ref="B58:B59"/>
    <mergeCell ref="P26:P31"/>
    <mergeCell ref="P32:P33"/>
    <mergeCell ref="P34:P35"/>
    <mergeCell ref="P36:P38"/>
    <mergeCell ref="P39:P42"/>
    <mergeCell ref="P43:P45"/>
    <mergeCell ref="P47:P51"/>
    <mergeCell ref="P52:P55"/>
    <mergeCell ref="B39:B42"/>
    <mergeCell ref="B43:B45"/>
    <mergeCell ref="B47:B51"/>
    <mergeCell ref="B52:B55"/>
    <mergeCell ref="B56:B57"/>
    <mergeCell ref="B26:B31"/>
    <mergeCell ref="B32:B33"/>
    <mergeCell ref="P56:P57"/>
    <mergeCell ref="P58:P59"/>
    <mergeCell ref="O23:P25"/>
    <mergeCell ref="Q23:R25"/>
    <mergeCell ref="R26:R31"/>
    <mergeCell ref="R32:R33"/>
    <mergeCell ref="R34:R35"/>
    <mergeCell ref="R36:R38"/>
    <mergeCell ref="R39:R42"/>
    <mergeCell ref="R43:R45"/>
    <mergeCell ref="R58:R59"/>
    <mergeCell ref="V56:V57"/>
    <mergeCell ref="V58:V59"/>
    <mergeCell ref="W23:X25"/>
    <mergeCell ref="X39:X42"/>
    <mergeCell ref="X43:X45"/>
    <mergeCell ref="X47:X51"/>
    <mergeCell ref="V26:V31"/>
    <mergeCell ref="V32:V33"/>
    <mergeCell ref="V34:V35"/>
    <mergeCell ref="V36:V38"/>
    <mergeCell ref="V39:V42"/>
    <mergeCell ref="V43:V45"/>
    <mergeCell ref="U23:V25"/>
    <mergeCell ref="X56:X57"/>
    <mergeCell ref="X58:X59"/>
    <mergeCell ref="V52:V55"/>
    <mergeCell ref="X52:X55"/>
    <mergeCell ref="S23:T25"/>
    <mergeCell ref="T26:T31"/>
    <mergeCell ref="T32:T33"/>
    <mergeCell ref="T34:T35"/>
    <mergeCell ref="T36:T38"/>
    <mergeCell ref="T39:T42"/>
    <mergeCell ref="T43:T45"/>
    <mergeCell ref="T47:T51"/>
    <mergeCell ref="AB26:AB31"/>
    <mergeCell ref="Z26:Z31"/>
    <mergeCell ref="X26:X31"/>
    <mergeCell ref="X32:X33"/>
    <mergeCell ref="X34:X35"/>
    <mergeCell ref="X36:X38"/>
    <mergeCell ref="V47:V51"/>
    <mergeCell ref="Z32:Z33"/>
    <mergeCell ref="Z34:Z35"/>
    <mergeCell ref="AB32:AB33"/>
    <mergeCell ref="Z36:Z38"/>
    <mergeCell ref="Z39:Z42"/>
    <mergeCell ref="Z43:Z45"/>
    <mergeCell ref="Y23:Z25"/>
    <mergeCell ref="AA23:AB25"/>
    <mergeCell ref="AB52:AB55"/>
    <mergeCell ref="AB56:AB57"/>
    <mergeCell ref="AB58:AB59"/>
    <mergeCell ref="Z47:Z51"/>
    <mergeCell ref="Z52:Z55"/>
    <mergeCell ref="Z56:Z57"/>
    <mergeCell ref="Z58:Z59"/>
    <mergeCell ref="AB34:AB35"/>
    <mergeCell ref="AB36:AB38"/>
    <mergeCell ref="AB39:AB42"/>
    <mergeCell ref="AB43:AB45"/>
    <mergeCell ref="AB47:AB51"/>
  </mergeCells>
  <pageMargins left="0.7" right="0.7" top="0.75" bottom="0.75" header="0.3" footer="0.3"/>
  <ignoredErrors>
    <ignoredError sqref="S46 S4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0C58-05D0-4188-91CB-24DE1D96A2B1}">
  <dimension ref="P2:AF12"/>
  <sheetViews>
    <sheetView zoomScale="80" workbookViewId="0">
      <selection activeCell="R39" sqref="R39"/>
    </sheetView>
  </sheetViews>
  <sheetFormatPr baseColWidth="10" defaultRowHeight="15" x14ac:dyDescent="0.25"/>
  <sheetData>
    <row r="2" spans="16:32" x14ac:dyDescent="0.25">
      <c r="P2" s="1" t="s">
        <v>62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25</v>
      </c>
      <c r="AD2" s="1" t="s">
        <v>26</v>
      </c>
      <c r="AE2" s="1" t="s">
        <v>27</v>
      </c>
      <c r="AF2" s="1" t="s">
        <v>28</v>
      </c>
    </row>
    <row r="3" spans="16:32" x14ac:dyDescent="0.25">
      <c r="P3" s="1" t="s">
        <v>1</v>
      </c>
      <c r="Q3" s="2">
        <v>12.75</v>
      </c>
      <c r="R3" s="2">
        <v>7.125</v>
      </c>
      <c r="S3" s="2">
        <v>10</v>
      </c>
      <c r="T3" s="2">
        <v>12.1111</v>
      </c>
      <c r="U3" s="2">
        <v>14.0556</v>
      </c>
      <c r="V3" s="2">
        <v>3.4722</v>
      </c>
      <c r="W3" s="2">
        <v>4.5693999999999999</v>
      </c>
      <c r="X3" s="2">
        <v>6.9166999999999996</v>
      </c>
      <c r="Y3" s="2">
        <v>10.8889</v>
      </c>
      <c r="Z3" s="2">
        <v>8.9722000000000008</v>
      </c>
      <c r="AA3" s="2">
        <v>6.9166999999999996</v>
      </c>
      <c r="AB3" s="2">
        <v>15.972200000000001</v>
      </c>
      <c r="AC3" s="2">
        <v>6.1111000000000004</v>
      </c>
      <c r="AD3" s="2">
        <v>6.1806000000000001</v>
      </c>
      <c r="AE3" s="2">
        <v>3.4306000000000001</v>
      </c>
      <c r="AF3" s="2">
        <v>6.5278</v>
      </c>
    </row>
    <row r="4" spans="16:32" x14ac:dyDescent="0.25">
      <c r="P4" s="1" t="s">
        <v>2</v>
      </c>
      <c r="Q4" s="2">
        <v>12.527799999999999</v>
      </c>
      <c r="R4" s="2">
        <v>6.625</v>
      </c>
      <c r="S4" s="2">
        <v>11.027799999999999</v>
      </c>
      <c r="T4" s="2">
        <v>9.8332999999999995</v>
      </c>
      <c r="U4" s="2">
        <v>14.3611</v>
      </c>
      <c r="V4" s="2">
        <v>5.1943999999999999</v>
      </c>
      <c r="W4" s="2">
        <v>5.5693999999999999</v>
      </c>
      <c r="X4" s="2">
        <v>6.3333000000000004</v>
      </c>
      <c r="Y4" s="2">
        <v>11.222200000000001</v>
      </c>
      <c r="Z4" s="2">
        <v>9.1111000000000004</v>
      </c>
      <c r="AA4" s="2">
        <v>6.3333000000000004</v>
      </c>
      <c r="AB4" s="2">
        <v>15.972200000000001</v>
      </c>
      <c r="AC4" s="2">
        <v>5.3888999999999996</v>
      </c>
      <c r="AD4" s="2">
        <v>5.5693999999999999</v>
      </c>
      <c r="AE4" s="2">
        <v>6.4306000000000001</v>
      </c>
      <c r="AF4" s="2">
        <v>4.5</v>
      </c>
    </row>
    <row r="5" spans="16:32" x14ac:dyDescent="0.25">
      <c r="P5" s="1" t="s">
        <v>3</v>
      </c>
      <c r="Q5" s="2">
        <v>11.8611</v>
      </c>
      <c r="R5" s="2">
        <v>7.0416999999999996</v>
      </c>
      <c r="S5" s="2">
        <v>10.0556</v>
      </c>
      <c r="T5" s="2">
        <v>9.3056000000000001</v>
      </c>
      <c r="U5" s="2">
        <v>14.6944</v>
      </c>
      <c r="V5" s="2">
        <v>4.25</v>
      </c>
      <c r="W5" s="2">
        <v>5.1257999999999999</v>
      </c>
      <c r="X5" s="2">
        <v>6.6111000000000004</v>
      </c>
      <c r="Y5" s="2">
        <v>11.666700000000001</v>
      </c>
      <c r="Z5" s="2">
        <v>8.1388999999999996</v>
      </c>
      <c r="AA5" s="2">
        <v>6.6111000000000004</v>
      </c>
      <c r="AB5" s="2">
        <v>16</v>
      </c>
      <c r="AC5" s="2">
        <v>6.2222</v>
      </c>
      <c r="AD5" s="2">
        <v>6.2083000000000004</v>
      </c>
      <c r="AE5" s="2">
        <v>4.7361000000000004</v>
      </c>
      <c r="AF5" s="2">
        <v>7.4443999999999999</v>
      </c>
    </row>
    <row r="6" spans="16:32" x14ac:dyDescent="0.25">
      <c r="P6" s="1" t="s">
        <v>4</v>
      </c>
      <c r="Q6" s="2">
        <v>12.75</v>
      </c>
      <c r="R6" s="2">
        <v>7.125</v>
      </c>
      <c r="S6" s="2">
        <v>9.6388999999999996</v>
      </c>
      <c r="T6" s="2">
        <v>11.6111</v>
      </c>
      <c r="U6" s="2">
        <v>14.166700000000001</v>
      </c>
      <c r="V6" s="2">
        <v>3.4443999999999999</v>
      </c>
      <c r="W6" s="2">
        <v>4.5138999999999996</v>
      </c>
      <c r="X6" s="2">
        <v>6.9443999999999999</v>
      </c>
      <c r="Y6" s="2">
        <v>10.972200000000001</v>
      </c>
      <c r="Z6" s="2">
        <v>9.0556000000000001</v>
      </c>
      <c r="AA6" s="2">
        <v>6.9443999999999999</v>
      </c>
      <c r="AB6" s="2">
        <v>16</v>
      </c>
      <c r="AC6" s="2">
        <v>6.0833000000000004</v>
      </c>
      <c r="AD6" s="2">
        <v>6.1528</v>
      </c>
      <c r="AE6" s="2">
        <v>3.3472</v>
      </c>
      <c r="AF6" s="2">
        <v>7.25</v>
      </c>
    </row>
    <row r="7" spans="16:32" x14ac:dyDescent="0.25">
      <c r="P7" s="1" t="s">
        <v>5</v>
      </c>
      <c r="Q7" s="2">
        <v>8.7777999999999992</v>
      </c>
      <c r="R7" s="2">
        <v>7.5972</v>
      </c>
      <c r="S7" s="2">
        <v>10.125</v>
      </c>
      <c r="T7" s="2">
        <v>7.3888999999999996</v>
      </c>
      <c r="U7" s="2">
        <v>13.8056</v>
      </c>
      <c r="V7" s="2">
        <v>5.5833000000000004</v>
      </c>
      <c r="W7" s="2">
        <v>5.5138999999999996</v>
      </c>
      <c r="X7" s="2">
        <v>8.5972000000000008</v>
      </c>
      <c r="Y7" s="2">
        <v>12.1389</v>
      </c>
      <c r="Z7" s="2">
        <v>10.1389</v>
      </c>
      <c r="AA7" s="2">
        <v>8.5972000000000008</v>
      </c>
      <c r="AB7" s="2">
        <v>15.652799999999999</v>
      </c>
      <c r="AC7" s="2">
        <v>7.7083000000000004</v>
      </c>
      <c r="AD7" s="2">
        <v>7.4166999999999996</v>
      </c>
      <c r="AE7" s="2">
        <v>5.1388999999999996</v>
      </c>
      <c r="AF7" s="2">
        <v>1.8193999999999999</v>
      </c>
    </row>
    <row r="8" spans="16:32" x14ac:dyDescent="0.25">
      <c r="P8" s="1" t="s">
        <v>6</v>
      </c>
      <c r="Q8" s="2">
        <v>13.027799999999999</v>
      </c>
      <c r="R8" s="2">
        <v>6.7361000000000004</v>
      </c>
      <c r="S8" s="2">
        <v>10</v>
      </c>
      <c r="T8" s="2">
        <v>11.347200000000001</v>
      </c>
      <c r="U8" s="2">
        <v>13.972200000000001</v>
      </c>
      <c r="V8" s="2">
        <v>3.25</v>
      </c>
      <c r="W8" s="2">
        <v>4.2638999999999996</v>
      </c>
      <c r="X8" s="2">
        <v>7.3056000000000001</v>
      </c>
      <c r="Y8" s="2">
        <v>10.916700000000001</v>
      </c>
      <c r="Z8" s="2">
        <v>8.4722000000000008</v>
      </c>
      <c r="AA8" s="2">
        <v>7.3056000000000001</v>
      </c>
      <c r="AB8" s="2">
        <v>15.916700000000001</v>
      </c>
      <c r="AC8" s="2">
        <v>6.4722</v>
      </c>
      <c r="AD8" s="2">
        <v>6.4861000000000004</v>
      </c>
      <c r="AE8" s="2">
        <v>3.3472</v>
      </c>
      <c r="AF8" s="2">
        <v>7.1806000000000001</v>
      </c>
    </row>
    <row r="9" spans="16:32" x14ac:dyDescent="0.25">
      <c r="P9" s="1" t="s">
        <v>7</v>
      </c>
      <c r="Q9" s="2">
        <v>12.1111</v>
      </c>
      <c r="R9" s="2">
        <v>6.9028</v>
      </c>
      <c r="S9" s="2">
        <v>11.3611</v>
      </c>
      <c r="T9" s="2">
        <v>10.166700000000001</v>
      </c>
      <c r="U9" s="2">
        <v>14.25</v>
      </c>
      <c r="V9" s="2">
        <v>4.1388999999999996</v>
      </c>
      <c r="W9" s="2">
        <v>4.5693999999999999</v>
      </c>
      <c r="X9" s="2">
        <v>6.75</v>
      </c>
      <c r="Y9" s="2">
        <v>11.1944</v>
      </c>
      <c r="Z9" s="2">
        <v>9.2222000000000008</v>
      </c>
      <c r="AA9" s="2">
        <v>6.75</v>
      </c>
      <c r="AB9" s="2">
        <v>15.972200000000001</v>
      </c>
      <c r="AC9" s="2">
        <v>6.0278</v>
      </c>
      <c r="AD9" s="2">
        <v>5.9306000000000001</v>
      </c>
      <c r="AE9" s="2">
        <v>4.5416999999999996</v>
      </c>
      <c r="AF9" s="2">
        <v>6.1111000000000004</v>
      </c>
    </row>
    <row r="10" spans="16:32" x14ac:dyDescent="0.25">
      <c r="P10" s="1" t="s">
        <v>8</v>
      </c>
      <c r="Q10" s="2">
        <v>12.277799999999999</v>
      </c>
      <c r="R10" s="2">
        <v>6.9306000000000001</v>
      </c>
      <c r="S10" s="2">
        <v>10.8056</v>
      </c>
      <c r="T10" s="2">
        <v>11.277799999999999</v>
      </c>
      <c r="U10" s="2">
        <v>13.833299999999999</v>
      </c>
      <c r="V10" s="2">
        <v>3.1943999999999999</v>
      </c>
      <c r="W10" s="2">
        <v>4.375</v>
      </c>
      <c r="X10" s="2">
        <v>6.8056000000000001</v>
      </c>
      <c r="Y10" s="2">
        <v>10.8889</v>
      </c>
      <c r="Z10" s="2">
        <v>8.4167000000000005</v>
      </c>
      <c r="AA10" s="2">
        <v>6.8056000000000001</v>
      </c>
      <c r="AB10" s="2">
        <v>15.972200000000001</v>
      </c>
      <c r="AC10" s="2">
        <v>6.1388999999999996</v>
      </c>
      <c r="AD10" s="2">
        <v>6.3193999999999999</v>
      </c>
      <c r="AE10" s="2">
        <v>4.0416999999999996</v>
      </c>
      <c r="AF10" s="2">
        <v>7.9166999999999996</v>
      </c>
    </row>
    <row r="11" spans="16:32" x14ac:dyDescent="0.25">
      <c r="P11" s="1" t="s">
        <v>9</v>
      </c>
      <c r="Q11" s="2">
        <v>12.277799999999999</v>
      </c>
      <c r="R11" s="2">
        <v>6.9306000000000001</v>
      </c>
      <c r="S11" s="2">
        <v>10.833299999999999</v>
      </c>
      <c r="T11" s="2">
        <v>11.25</v>
      </c>
      <c r="U11" s="2">
        <v>13.833299999999999</v>
      </c>
      <c r="V11" s="2">
        <v>3.1943999999999999</v>
      </c>
      <c r="W11" s="2">
        <v>4.4028</v>
      </c>
      <c r="X11" s="2">
        <v>6.8056000000000001</v>
      </c>
      <c r="Y11" s="2">
        <v>10.8889</v>
      </c>
      <c r="Z11" s="2">
        <v>8.4167000000000005</v>
      </c>
      <c r="AA11" s="2">
        <v>6.8056000000000001</v>
      </c>
      <c r="AB11" s="2">
        <v>15.972200000000001</v>
      </c>
      <c r="AC11" s="2">
        <v>6.1388999999999996</v>
      </c>
      <c r="AD11" s="2">
        <v>6.3193999999999999</v>
      </c>
      <c r="AE11" s="2">
        <v>4.0416999999999996</v>
      </c>
      <c r="AF11" s="2">
        <v>7.8888999999999996</v>
      </c>
    </row>
    <row r="12" spans="16:32" x14ac:dyDescent="0.25">
      <c r="P12" s="1" t="s">
        <v>10</v>
      </c>
      <c r="Q12" s="2">
        <v>5.4443999999999999</v>
      </c>
      <c r="R12" s="2">
        <v>4.1666999999999996</v>
      </c>
      <c r="S12" s="2">
        <v>15</v>
      </c>
      <c r="T12" s="2">
        <v>9.9443999999999999</v>
      </c>
      <c r="U12" s="2">
        <v>4.1528</v>
      </c>
      <c r="V12" s="2">
        <v>13.8889</v>
      </c>
      <c r="W12" s="2">
        <v>13</v>
      </c>
      <c r="X12" s="2">
        <v>3.7361</v>
      </c>
      <c r="Y12" s="2">
        <v>8.7917000000000005</v>
      </c>
      <c r="Z12" s="2">
        <v>16</v>
      </c>
      <c r="AA12" s="2">
        <v>5.4861000000000004</v>
      </c>
      <c r="AB12" s="2">
        <v>1.7639</v>
      </c>
      <c r="AC12" s="2">
        <v>5.1528</v>
      </c>
      <c r="AD12" s="2">
        <v>6.4443999999999999</v>
      </c>
      <c r="AE12" s="2">
        <v>11.416700000000001</v>
      </c>
      <c r="AF12" s="2">
        <v>11.6111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32D43-2074-4961-B665-BC5586C01040}">
  <sheetPr codeName="Hoja2"/>
  <dimension ref="B2:H36"/>
  <sheetViews>
    <sheetView zoomScale="90" zoomScaleNormal="90" workbookViewId="0">
      <selection activeCell="C21" sqref="C21"/>
    </sheetView>
  </sheetViews>
  <sheetFormatPr baseColWidth="10" defaultRowHeight="15" x14ac:dyDescent="0.25"/>
  <sheetData>
    <row r="2" spans="2:8" x14ac:dyDescent="0.25">
      <c r="B2" s="1" t="s">
        <v>0</v>
      </c>
      <c r="C2" s="1" t="s">
        <v>1</v>
      </c>
      <c r="D2" s="1" t="s">
        <v>2</v>
      </c>
      <c r="F2" s="1" t="s">
        <v>0</v>
      </c>
      <c r="G2" s="1" t="s">
        <v>1</v>
      </c>
      <c r="H2" s="1" t="s">
        <v>2</v>
      </c>
    </row>
    <row r="3" spans="2:8" x14ac:dyDescent="0.25">
      <c r="B3" s="1" t="s">
        <v>11</v>
      </c>
      <c r="C3" s="2">
        <v>12.75</v>
      </c>
      <c r="D3" s="2">
        <v>12.527799999999999</v>
      </c>
      <c r="F3" s="1" t="s">
        <v>11</v>
      </c>
      <c r="G3" s="2">
        <v>14</v>
      </c>
      <c r="H3" s="2">
        <v>14</v>
      </c>
    </row>
    <row r="4" spans="2:8" x14ac:dyDescent="0.25">
      <c r="B4" s="1" t="s">
        <v>12</v>
      </c>
      <c r="C4" s="2">
        <v>7.125</v>
      </c>
      <c r="D4" s="2">
        <v>6.625</v>
      </c>
      <c r="F4" s="1" t="s">
        <v>12</v>
      </c>
      <c r="G4" s="2">
        <v>9</v>
      </c>
      <c r="H4" s="2">
        <v>9</v>
      </c>
    </row>
    <row r="5" spans="2:8" x14ac:dyDescent="0.25">
      <c r="B5" s="1" t="s">
        <v>13</v>
      </c>
      <c r="C5" s="2">
        <v>10</v>
      </c>
      <c r="D5" s="2">
        <v>11.027799999999999</v>
      </c>
      <c r="F5" s="1" t="s">
        <v>13</v>
      </c>
      <c r="G5" s="2">
        <v>11</v>
      </c>
      <c r="H5" s="2">
        <v>12</v>
      </c>
    </row>
    <row r="6" spans="2:8" x14ac:dyDescent="0.25">
      <c r="B6" s="1" t="s">
        <v>14</v>
      </c>
      <c r="C6" s="2">
        <v>12.1111</v>
      </c>
      <c r="D6" s="2">
        <v>9.8332999999999995</v>
      </c>
      <c r="F6" s="1" t="s">
        <v>14</v>
      </c>
      <c r="G6" s="2">
        <v>13</v>
      </c>
      <c r="H6" s="2">
        <v>11</v>
      </c>
    </row>
    <row r="7" spans="2:8" x14ac:dyDescent="0.25">
      <c r="B7" s="1" t="s">
        <v>15</v>
      </c>
      <c r="C7" s="2">
        <v>14.0556</v>
      </c>
      <c r="D7" s="2">
        <v>14.3611</v>
      </c>
      <c r="F7" s="1" t="s">
        <v>15</v>
      </c>
      <c r="G7" s="2">
        <v>15</v>
      </c>
      <c r="H7" s="2">
        <v>15</v>
      </c>
    </row>
    <row r="8" spans="2:8" x14ac:dyDescent="0.25">
      <c r="B8" s="1" t="s">
        <v>16</v>
      </c>
      <c r="C8" s="2">
        <v>3.4722</v>
      </c>
      <c r="D8" s="2">
        <v>5.1943999999999999</v>
      </c>
      <c r="F8" s="1" t="s">
        <v>16</v>
      </c>
      <c r="G8" s="2">
        <v>2</v>
      </c>
      <c r="H8" s="2">
        <v>2</v>
      </c>
    </row>
    <row r="9" spans="2:8" x14ac:dyDescent="0.25">
      <c r="B9" s="1" t="s">
        <v>17</v>
      </c>
      <c r="C9" s="2">
        <v>4.5693999999999999</v>
      </c>
      <c r="D9" s="2">
        <v>5.5693999999999999</v>
      </c>
      <c r="F9" s="1" t="s">
        <v>17</v>
      </c>
      <c r="G9" s="2">
        <v>3</v>
      </c>
      <c r="H9" s="2">
        <v>4</v>
      </c>
    </row>
    <row r="10" spans="2:8" x14ac:dyDescent="0.25">
      <c r="B10" s="1" t="s">
        <v>18</v>
      </c>
      <c r="C10" s="2">
        <v>6.9166999999999996</v>
      </c>
      <c r="D10" s="2">
        <v>6.3333000000000004</v>
      </c>
      <c r="F10" s="1" t="s">
        <v>18</v>
      </c>
      <c r="G10" s="2">
        <v>7</v>
      </c>
      <c r="H10" s="2">
        <v>6</v>
      </c>
    </row>
    <row r="11" spans="2:8" x14ac:dyDescent="0.25">
      <c r="B11" s="1" t="s">
        <v>19</v>
      </c>
      <c r="C11" s="2">
        <v>10.8889</v>
      </c>
      <c r="D11" s="2">
        <v>11.222200000000001</v>
      </c>
      <c r="F11" s="1" t="s">
        <v>19</v>
      </c>
      <c r="G11" s="2">
        <v>12</v>
      </c>
      <c r="H11" s="2">
        <v>13</v>
      </c>
    </row>
    <row r="12" spans="2:8" x14ac:dyDescent="0.25">
      <c r="B12" s="1" t="s">
        <v>20</v>
      </c>
      <c r="C12" s="2">
        <v>8.9722000000000008</v>
      </c>
      <c r="D12" s="2">
        <v>9.1111000000000004</v>
      </c>
      <c r="F12" s="1" t="s">
        <v>20</v>
      </c>
      <c r="G12" s="2">
        <v>10</v>
      </c>
      <c r="H12" s="2">
        <v>10</v>
      </c>
    </row>
    <row r="13" spans="2:8" x14ac:dyDescent="0.25">
      <c r="B13" s="1" t="s">
        <v>21</v>
      </c>
      <c r="C13" s="2">
        <v>6.9166999999999996</v>
      </c>
      <c r="D13" s="2">
        <v>6.3333000000000004</v>
      </c>
      <c r="F13" s="1" t="s">
        <v>21</v>
      </c>
      <c r="G13" s="2">
        <v>8</v>
      </c>
      <c r="H13" s="2">
        <v>6</v>
      </c>
    </row>
    <row r="14" spans="2:8" x14ac:dyDescent="0.25">
      <c r="B14" s="1" t="s">
        <v>22</v>
      </c>
      <c r="C14" s="2">
        <v>15.972200000000001</v>
      </c>
      <c r="D14" s="2">
        <v>15.972200000000001</v>
      </c>
      <c r="F14" s="1" t="s">
        <v>22</v>
      </c>
      <c r="G14" s="2">
        <v>16</v>
      </c>
      <c r="H14" s="2">
        <v>16</v>
      </c>
    </row>
    <row r="15" spans="2:8" x14ac:dyDescent="0.25">
      <c r="B15" s="1" t="s">
        <v>25</v>
      </c>
      <c r="C15" s="2">
        <v>6.1111000000000004</v>
      </c>
      <c r="D15" s="2">
        <v>5.3888999999999996</v>
      </c>
      <c r="F15" s="1" t="s">
        <v>25</v>
      </c>
      <c r="G15" s="2">
        <v>4</v>
      </c>
      <c r="H15" s="2">
        <v>3</v>
      </c>
    </row>
    <row r="16" spans="2:8" x14ac:dyDescent="0.25">
      <c r="B16" s="1" t="s">
        <v>26</v>
      </c>
      <c r="C16" s="2">
        <v>6.1806000000000001</v>
      </c>
      <c r="D16" s="2">
        <v>5.5693999999999999</v>
      </c>
      <c r="F16" s="1" t="s">
        <v>26</v>
      </c>
      <c r="G16" s="2">
        <v>5</v>
      </c>
      <c r="H16" s="2">
        <v>4</v>
      </c>
    </row>
    <row r="17" spans="2:8" x14ac:dyDescent="0.25">
      <c r="B17" s="1" t="s">
        <v>27</v>
      </c>
      <c r="C17" s="2">
        <v>3.4306000000000001</v>
      </c>
      <c r="D17" s="2">
        <v>6.4306000000000001</v>
      </c>
      <c r="F17" s="1" t="s">
        <v>27</v>
      </c>
      <c r="G17" s="2">
        <v>1</v>
      </c>
      <c r="H17" s="2">
        <v>8</v>
      </c>
    </row>
    <row r="18" spans="2:8" x14ac:dyDescent="0.25">
      <c r="B18" s="1" t="s">
        <v>28</v>
      </c>
      <c r="C18" s="2">
        <v>6.5278</v>
      </c>
      <c r="D18" s="2">
        <v>4.5</v>
      </c>
      <c r="F18" s="1" t="s">
        <v>28</v>
      </c>
      <c r="G18" s="2">
        <v>6</v>
      </c>
      <c r="H18" s="2">
        <v>1</v>
      </c>
    </row>
    <row r="20" spans="2:8" x14ac:dyDescent="0.25">
      <c r="B20" s="1" t="s">
        <v>0</v>
      </c>
      <c r="C20" s="1" t="s">
        <v>1</v>
      </c>
      <c r="E20" s="1" t="s">
        <v>0</v>
      </c>
      <c r="F20" s="1" t="s">
        <v>2</v>
      </c>
    </row>
    <row r="21" spans="2:8" x14ac:dyDescent="0.25">
      <c r="B21" s="1" t="s">
        <v>27</v>
      </c>
      <c r="C21" s="2">
        <v>3.4306000000000001</v>
      </c>
      <c r="E21" s="1" t="s">
        <v>28</v>
      </c>
      <c r="F21" s="2">
        <v>4.5</v>
      </c>
    </row>
    <row r="22" spans="2:8" x14ac:dyDescent="0.25">
      <c r="B22" s="1" t="s">
        <v>16</v>
      </c>
      <c r="C22" s="2">
        <v>3.4722</v>
      </c>
      <c r="E22" s="1" t="s">
        <v>16</v>
      </c>
      <c r="F22" s="2">
        <v>5.1943999999999999</v>
      </c>
    </row>
    <row r="23" spans="2:8" x14ac:dyDescent="0.25">
      <c r="B23" s="1" t="s">
        <v>17</v>
      </c>
      <c r="C23" s="2">
        <v>4.5693999999999999</v>
      </c>
      <c r="E23" s="1" t="s">
        <v>25</v>
      </c>
      <c r="F23" s="2">
        <v>5.3888999999999996</v>
      </c>
    </row>
    <row r="24" spans="2:8" x14ac:dyDescent="0.25">
      <c r="B24" s="1" t="s">
        <v>25</v>
      </c>
      <c r="C24" s="2">
        <v>6.1111000000000004</v>
      </c>
      <c r="E24" s="1" t="s">
        <v>26</v>
      </c>
      <c r="F24" s="2">
        <v>5.5693999999999999</v>
      </c>
    </row>
    <row r="25" spans="2:8" x14ac:dyDescent="0.25">
      <c r="B25" s="1" t="s">
        <v>26</v>
      </c>
      <c r="C25" s="2">
        <v>6.1806000000000001</v>
      </c>
      <c r="E25" s="1" t="s">
        <v>17</v>
      </c>
      <c r="F25" s="2">
        <v>5.5693999999999999</v>
      </c>
    </row>
    <row r="26" spans="2:8" x14ac:dyDescent="0.25">
      <c r="B26" s="1" t="s">
        <v>28</v>
      </c>
      <c r="C26" s="2">
        <v>6.5278</v>
      </c>
      <c r="E26" s="1" t="s">
        <v>18</v>
      </c>
      <c r="F26" s="2">
        <v>6.3333000000000004</v>
      </c>
    </row>
    <row r="27" spans="2:8" x14ac:dyDescent="0.25">
      <c r="B27" s="1" t="s">
        <v>18</v>
      </c>
      <c r="C27" s="2">
        <v>6.9166999999999996</v>
      </c>
      <c r="E27" s="1" t="s">
        <v>21</v>
      </c>
      <c r="F27" s="2">
        <v>6.3333000000000004</v>
      </c>
    </row>
    <row r="28" spans="2:8" x14ac:dyDescent="0.25">
      <c r="B28" s="1" t="s">
        <v>21</v>
      </c>
      <c r="C28" s="2">
        <v>6.9166999999999996</v>
      </c>
      <c r="E28" s="1" t="s">
        <v>27</v>
      </c>
      <c r="F28" s="2">
        <v>6.4306000000000001</v>
      </c>
    </row>
    <row r="29" spans="2:8" x14ac:dyDescent="0.25">
      <c r="B29" s="1" t="s">
        <v>12</v>
      </c>
      <c r="C29" s="2">
        <v>7.125</v>
      </c>
      <c r="E29" s="1" t="s">
        <v>12</v>
      </c>
      <c r="F29" s="2">
        <v>6.625</v>
      </c>
    </row>
    <row r="30" spans="2:8" x14ac:dyDescent="0.25">
      <c r="B30" s="1" t="s">
        <v>20</v>
      </c>
      <c r="C30" s="2">
        <v>8.9722000000000008</v>
      </c>
      <c r="E30" s="1" t="s">
        <v>20</v>
      </c>
      <c r="F30" s="2">
        <v>9.1111000000000004</v>
      </c>
    </row>
    <row r="31" spans="2:8" x14ac:dyDescent="0.25">
      <c r="B31" s="1" t="s">
        <v>13</v>
      </c>
      <c r="C31" s="2">
        <v>10</v>
      </c>
      <c r="E31" s="1" t="s">
        <v>14</v>
      </c>
      <c r="F31" s="2">
        <v>9.8332999999999995</v>
      </c>
    </row>
    <row r="32" spans="2:8" x14ac:dyDescent="0.25">
      <c r="B32" s="1" t="s">
        <v>19</v>
      </c>
      <c r="C32" s="2">
        <v>10.8889</v>
      </c>
      <c r="E32" s="1" t="s">
        <v>13</v>
      </c>
      <c r="F32" s="2">
        <v>11.027799999999999</v>
      </c>
    </row>
    <row r="33" spans="2:6" x14ac:dyDescent="0.25">
      <c r="B33" s="1" t="s">
        <v>14</v>
      </c>
      <c r="C33" s="2">
        <v>12.1111</v>
      </c>
      <c r="E33" s="1" t="s">
        <v>19</v>
      </c>
      <c r="F33" s="2">
        <v>11.222200000000001</v>
      </c>
    </row>
    <row r="34" spans="2:6" x14ac:dyDescent="0.25">
      <c r="B34" s="1" t="s">
        <v>11</v>
      </c>
      <c r="C34" s="2">
        <v>12.75</v>
      </c>
      <c r="E34" s="1" t="s">
        <v>11</v>
      </c>
      <c r="F34" s="2">
        <v>12.527799999999999</v>
      </c>
    </row>
    <row r="35" spans="2:6" x14ac:dyDescent="0.25">
      <c r="B35" s="1" t="s">
        <v>15</v>
      </c>
      <c r="C35" s="2">
        <v>14.0556</v>
      </c>
      <c r="E35" s="1" t="s">
        <v>15</v>
      </c>
      <c r="F35" s="2">
        <v>14.3611</v>
      </c>
    </row>
    <row r="36" spans="2:6" x14ac:dyDescent="0.25">
      <c r="B36" s="1" t="s">
        <v>22</v>
      </c>
      <c r="C36" s="2">
        <v>15.972200000000001</v>
      </c>
      <c r="E36" s="1" t="s">
        <v>22</v>
      </c>
      <c r="F36" s="2">
        <v>15.972200000000001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9EF9-32E5-4065-9D59-E34EBA076812}">
  <sheetPr codeName="Hoja3"/>
  <dimension ref="B2:F36"/>
  <sheetViews>
    <sheetView zoomScale="90" zoomScaleNormal="90" workbookViewId="0">
      <selection activeCell="F3" sqref="F3:F18"/>
    </sheetView>
  </sheetViews>
  <sheetFormatPr baseColWidth="10" defaultRowHeight="15" x14ac:dyDescent="0.25"/>
  <sheetData>
    <row r="2" spans="2:6" x14ac:dyDescent="0.25">
      <c r="B2" s="1" t="s">
        <v>0</v>
      </c>
      <c r="C2" s="1" t="s">
        <v>3</v>
      </c>
      <c r="E2" s="1" t="s">
        <v>0</v>
      </c>
      <c r="F2" s="1" t="s">
        <v>3</v>
      </c>
    </row>
    <row r="3" spans="2:6" x14ac:dyDescent="0.25">
      <c r="B3" s="1" t="s">
        <v>11</v>
      </c>
      <c r="C3" s="2">
        <v>11.8611</v>
      </c>
      <c r="E3" s="1" t="s">
        <v>11</v>
      </c>
      <c r="F3" s="2">
        <v>14</v>
      </c>
    </row>
    <row r="4" spans="2:6" x14ac:dyDescent="0.25">
      <c r="B4" s="1" t="s">
        <v>12</v>
      </c>
      <c r="C4" s="2">
        <v>7.0416999999999996</v>
      </c>
      <c r="E4" s="1" t="s">
        <v>12</v>
      </c>
      <c r="F4" s="2">
        <v>8</v>
      </c>
    </row>
    <row r="5" spans="2:6" x14ac:dyDescent="0.25">
      <c r="B5" s="1" t="s">
        <v>13</v>
      </c>
      <c r="C5" s="2">
        <v>10.0556</v>
      </c>
      <c r="E5" s="1" t="s">
        <v>13</v>
      </c>
      <c r="F5" s="2">
        <v>12</v>
      </c>
    </row>
    <row r="6" spans="2:6" x14ac:dyDescent="0.25">
      <c r="B6" s="1" t="s">
        <v>14</v>
      </c>
      <c r="C6" s="2">
        <v>9.3056000000000001</v>
      </c>
      <c r="E6" s="1" t="s">
        <v>14</v>
      </c>
      <c r="F6" s="2">
        <v>11</v>
      </c>
    </row>
    <row r="7" spans="2:6" x14ac:dyDescent="0.25">
      <c r="B7" s="1" t="s">
        <v>15</v>
      </c>
      <c r="C7" s="2">
        <v>14.6944</v>
      </c>
      <c r="E7" s="1" t="s">
        <v>15</v>
      </c>
      <c r="F7" s="2">
        <v>15</v>
      </c>
    </row>
    <row r="8" spans="2:6" x14ac:dyDescent="0.25">
      <c r="B8" s="1" t="s">
        <v>16</v>
      </c>
      <c r="C8" s="2">
        <v>4.25</v>
      </c>
      <c r="E8" s="1" t="s">
        <v>16</v>
      </c>
      <c r="F8" s="2">
        <v>1</v>
      </c>
    </row>
    <row r="9" spans="2:6" x14ac:dyDescent="0.25">
      <c r="B9" s="1" t="s">
        <v>17</v>
      </c>
      <c r="C9" s="2">
        <v>5.1257999999999999</v>
      </c>
      <c r="E9" s="1" t="s">
        <v>17</v>
      </c>
      <c r="F9" s="2">
        <v>3</v>
      </c>
    </row>
    <row r="10" spans="2:6" x14ac:dyDescent="0.25">
      <c r="B10" s="1" t="s">
        <v>18</v>
      </c>
      <c r="C10" s="2">
        <v>6.6111000000000004</v>
      </c>
      <c r="E10" s="1" t="s">
        <v>18</v>
      </c>
      <c r="F10" s="2">
        <v>6</v>
      </c>
    </row>
    <row r="11" spans="2:6" x14ac:dyDescent="0.25">
      <c r="B11" s="1" t="s">
        <v>19</v>
      </c>
      <c r="C11" s="2">
        <v>11.666700000000001</v>
      </c>
      <c r="E11" s="1" t="s">
        <v>19</v>
      </c>
      <c r="F11" s="2">
        <v>13</v>
      </c>
    </row>
    <row r="12" spans="2:6" x14ac:dyDescent="0.25">
      <c r="B12" s="1" t="s">
        <v>20</v>
      </c>
      <c r="C12" s="2">
        <v>8.1388999999999996</v>
      </c>
      <c r="E12" s="1" t="s">
        <v>20</v>
      </c>
      <c r="F12" s="2">
        <v>10</v>
      </c>
    </row>
    <row r="13" spans="2:6" x14ac:dyDescent="0.25">
      <c r="B13" s="1" t="s">
        <v>21</v>
      </c>
      <c r="C13" s="2">
        <v>6.6111000000000004</v>
      </c>
      <c r="E13" s="1" t="s">
        <v>21</v>
      </c>
      <c r="F13" s="2">
        <v>6</v>
      </c>
    </row>
    <row r="14" spans="2:6" x14ac:dyDescent="0.25">
      <c r="B14" s="1" t="s">
        <v>22</v>
      </c>
      <c r="C14" s="2">
        <v>16</v>
      </c>
      <c r="E14" s="1" t="s">
        <v>22</v>
      </c>
      <c r="F14" s="2">
        <v>16</v>
      </c>
    </row>
    <row r="15" spans="2:6" x14ac:dyDescent="0.25">
      <c r="B15" s="1" t="s">
        <v>25</v>
      </c>
      <c r="C15" s="2">
        <v>6.2222</v>
      </c>
      <c r="E15" s="1" t="s">
        <v>25</v>
      </c>
      <c r="F15" s="2">
        <v>5</v>
      </c>
    </row>
    <row r="16" spans="2:6" x14ac:dyDescent="0.25">
      <c r="B16" s="1" t="s">
        <v>26</v>
      </c>
      <c r="C16" s="2">
        <v>6.2083000000000004</v>
      </c>
      <c r="E16" s="1" t="s">
        <v>26</v>
      </c>
      <c r="F16" s="2">
        <v>4</v>
      </c>
    </row>
    <row r="17" spans="2:6" x14ac:dyDescent="0.25">
      <c r="B17" s="1" t="s">
        <v>27</v>
      </c>
      <c r="C17" s="2">
        <v>4.7361000000000004</v>
      </c>
      <c r="E17" s="1" t="s">
        <v>27</v>
      </c>
      <c r="F17" s="2">
        <v>2</v>
      </c>
    </row>
    <row r="18" spans="2:6" x14ac:dyDescent="0.25">
      <c r="B18" s="1" t="s">
        <v>28</v>
      </c>
      <c r="C18" s="2">
        <v>7.4443999999999999</v>
      </c>
      <c r="E18" s="1" t="s">
        <v>28</v>
      </c>
      <c r="F18" s="2">
        <v>9</v>
      </c>
    </row>
    <row r="20" spans="2:6" x14ac:dyDescent="0.25">
      <c r="B20" s="1" t="s">
        <v>0</v>
      </c>
      <c r="C20" s="1" t="s">
        <v>3</v>
      </c>
    </row>
    <row r="21" spans="2:6" x14ac:dyDescent="0.25">
      <c r="B21" s="1" t="s">
        <v>16</v>
      </c>
      <c r="C21" s="2">
        <v>4.25</v>
      </c>
    </row>
    <row r="22" spans="2:6" x14ac:dyDescent="0.25">
      <c r="B22" s="1" t="s">
        <v>27</v>
      </c>
      <c r="C22" s="2">
        <v>4.7361000000000004</v>
      </c>
    </row>
    <row r="23" spans="2:6" x14ac:dyDescent="0.25">
      <c r="B23" s="1" t="s">
        <v>17</v>
      </c>
      <c r="C23" s="2">
        <v>5.1257999999999999</v>
      </c>
    </row>
    <row r="24" spans="2:6" x14ac:dyDescent="0.25">
      <c r="B24" s="1" t="s">
        <v>26</v>
      </c>
      <c r="C24" s="2">
        <v>6.2083000000000004</v>
      </c>
    </row>
    <row r="25" spans="2:6" x14ac:dyDescent="0.25">
      <c r="B25" s="1" t="s">
        <v>25</v>
      </c>
      <c r="C25" s="2">
        <v>6.2222</v>
      </c>
    </row>
    <row r="26" spans="2:6" x14ac:dyDescent="0.25">
      <c r="B26" s="1" t="s">
        <v>18</v>
      </c>
      <c r="C26" s="2">
        <v>6.6111000000000004</v>
      </c>
    </row>
    <row r="27" spans="2:6" x14ac:dyDescent="0.25">
      <c r="B27" s="1" t="s">
        <v>21</v>
      </c>
      <c r="C27" s="2">
        <v>6.6111000000000004</v>
      </c>
    </row>
    <row r="28" spans="2:6" x14ac:dyDescent="0.25">
      <c r="B28" s="1" t="s">
        <v>12</v>
      </c>
      <c r="C28" s="2">
        <v>7.0416999999999996</v>
      </c>
    </row>
    <row r="29" spans="2:6" x14ac:dyDescent="0.25">
      <c r="B29" s="1" t="s">
        <v>28</v>
      </c>
      <c r="C29" s="2">
        <v>7.4443999999999999</v>
      </c>
    </row>
    <row r="30" spans="2:6" x14ac:dyDescent="0.25">
      <c r="B30" s="1" t="s">
        <v>20</v>
      </c>
      <c r="C30" s="2">
        <v>8.1388999999999996</v>
      </c>
    </row>
    <row r="31" spans="2:6" x14ac:dyDescent="0.25">
      <c r="B31" s="1" t="s">
        <v>14</v>
      </c>
      <c r="C31" s="2">
        <v>9.3056000000000001</v>
      </c>
    </row>
    <row r="32" spans="2:6" x14ac:dyDescent="0.25">
      <c r="B32" s="1" t="s">
        <v>13</v>
      </c>
      <c r="C32" s="2">
        <v>10.0556</v>
      </c>
    </row>
    <row r="33" spans="2:3" x14ac:dyDescent="0.25">
      <c r="B33" s="1" t="s">
        <v>19</v>
      </c>
      <c r="C33" s="2">
        <v>11.666700000000001</v>
      </c>
    </row>
    <row r="34" spans="2:3" x14ac:dyDescent="0.25">
      <c r="B34" s="1" t="s">
        <v>11</v>
      </c>
      <c r="C34" s="2">
        <v>11.8611</v>
      </c>
    </row>
    <row r="35" spans="2:3" x14ac:dyDescent="0.25">
      <c r="B35" s="1" t="s">
        <v>15</v>
      </c>
      <c r="C35" s="2">
        <v>14.6944</v>
      </c>
    </row>
    <row r="36" spans="2:3" x14ac:dyDescent="0.25">
      <c r="B36" s="1" t="s">
        <v>22</v>
      </c>
      <c r="C36" s="2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3071-7AA3-4869-A246-371151813505}">
  <sheetPr codeName="Hoja4"/>
  <dimension ref="B2:R36"/>
  <sheetViews>
    <sheetView zoomScale="90" zoomScaleNormal="90" workbookViewId="0">
      <selection activeCell="N3" sqref="N3:P18"/>
    </sheetView>
  </sheetViews>
  <sheetFormatPr baseColWidth="10" defaultRowHeight="15" x14ac:dyDescent="0.25"/>
  <sheetData>
    <row r="2" spans="2:16" x14ac:dyDescent="0.25">
      <c r="B2" s="1" t="s">
        <v>0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J2" s="1" t="s">
        <v>0</v>
      </c>
      <c r="K2" s="1" t="s">
        <v>4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</row>
    <row r="3" spans="2:16" x14ac:dyDescent="0.25">
      <c r="B3" s="1" t="s">
        <v>11</v>
      </c>
      <c r="C3" s="2">
        <v>12.75</v>
      </c>
      <c r="D3" s="2">
        <v>8.7777999999999992</v>
      </c>
      <c r="E3" s="2">
        <v>13.027799999999999</v>
      </c>
      <c r="F3" s="2">
        <v>12.1111</v>
      </c>
      <c r="G3" s="2">
        <v>12.277799999999999</v>
      </c>
      <c r="H3" s="2">
        <v>12.277799999999999</v>
      </c>
      <c r="J3" s="1" t="s">
        <v>11</v>
      </c>
      <c r="K3" s="2">
        <v>14</v>
      </c>
      <c r="L3" s="2">
        <v>11</v>
      </c>
      <c r="M3" s="2">
        <v>14</v>
      </c>
      <c r="N3" s="2">
        <v>14</v>
      </c>
      <c r="O3" s="2">
        <v>14</v>
      </c>
      <c r="P3" s="2">
        <v>14</v>
      </c>
    </row>
    <row r="4" spans="2:16" x14ac:dyDescent="0.25">
      <c r="B4" s="1" t="s">
        <v>12</v>
      </c>
      <c r="C4" s="2">
        <v>7.125</v>
      </c>
      <c r="D4" s="2">
        <v>7.5972</v>
      </c>
      <c r="E4" s="2">
        <v>6.7361000000000004</v>
      </c>
      <c r="F4" s="2">
        <v>6.9028</v>
      </c>
      <c r="G4" s="2">
        <v>6.9306000000000001</v>
      </c>
      <c r="H4" s="2">
        <v>6.9306000000000001</v>
      </c>
      <c r="J4" s="1" t="s">
        <v>12</v>
      </c>
      <c r="K4" s="2">
        <v>8</v>
      </c>
      <c r="L4" s="2">
        <v>7</v>
      </c>
      <c r="M4" s="2">
        <v>6</v>
      </c>
      <c r="N4" s="2">
        <v>9</v>
      </c>
      <c r="O4" s="2">
        <v>8</v>
      </c>
      <c r="P4" s="2">
        <v>8</v>
      </c>
    </row>
    <row r="5" spans="2:16" x14ac:dyDescent="0.25">
      <c r="B5" s="1" t="s">
        <v>13</v>
      </c>
      <c r="C5" s="2">
        <v>9.6388999999999996</v>
      </c>
      <c r="D5" s="2">
        <v>10.125</v>
      </c>
      <c r="E5" s="2">
        <v>10</v>
      </c>
      <c r="F5" s="2">
        <v>11.3611</v>
      </c>
      <c r="G5" s="2">
        <v>10.8056</v>
      </c>
      <c r="H5" s="2">
        <v>10.833299999999999</v>
      </c>
      <c r="J5" s="1" t="s">
        <v>13</v>
      </c>
      <c r="K5" s="2">
        <v>11</v>
      </c>
      <c r="L5" s="2">
        <v>12</v>
      </c>
      <c r="M5" s="2">
        <v>11</v>
      </c>
      <c r="N5" s="2">
        <v>13</v>
      </c>
      <c r="O5" s="2">
        <v>12</v>
      </c>
      <c r="P5" s="2">
        <v>11</v>
      </c>
    </row>
    <row r="6" spans="2:16" x14ac:dyDescent="0.25">
      <c r="B6" s="1" t="s">
        <v>14</v>
      </c>
      <c r="C6" s="2">
        <v>11.6111</v>
      </c>
      <c r="D6" s="2">
        <v>7.3888999999999996</v>
      </c>
      <c r="E6" s="2">
        <v>11.347200000000001</v>
      </c>
      <c r="F6" s="2">
        <v>10.166700000000001</v>
      </c>
      <c r="G6" s="2">
        <v>11.277799999999999</v>
      </c>
      <c r="H6" s="2">
        <v>11.25</v>
      </c>
      <c r="J6" s="1" t="s">
        <v>14</v>
      </c>
      <c r="K6" s="2">
        <v>13</v>
      </c>
      <c r="L6" s="2">
        <v>5</v>
      </c>
      <c r="M6" s="2">
        <v>13</v>
      </c>
      <c r="N6" s="2">
        <v>11</v>
      </c>
      <c r="O6" s="2">
        <v>13</v>
      </c>
      <c r="P6" s="2">
        <v>13</v>
      </c>
    </row>
    <row r="7" spans="2:16" x14ac:dyDescent="0.25">
      <c r="B7" s="1" t="s">
        <v>15</v>
      </c>
      <c r="C7" s="2">
        <v>14.166700000000001</v>
      </c>
      <c r="D7" s="2">
        <v>13.8056</v>
      </c>
      <c r="E7" s="2">
        <v>13.972200000000001</v>
      </c>
      <c r="F7" s="2">
        <v>14.25</v>
      </c>
      <c r="G7" s="2">
        <v>13.833299999999999</v>
      </c>
      <c r="H7" s="2">
        <v>13.833299999999999</v>
      </c>
      <c r="J7" s="1" t="s">
        <v>15</v>
      </c>
      <c r="K7" s="2">
        <v>15</v>
      </c>
      <c r="L7" s="2">
        <v>15</v>
      </c>
      <c r="M7" s="2">
        <v>15</v>
      </c>
      <c r="N7" s="2">
        <v>15</v>
      </c>
      <c r="O7" s="2">
        <v>15</v>
      </c>
      <c r="P7" s="2">
        <v>15</v>
      </c>
    </row>
    <row r="8" spans="2:16" x14ac:dyDescent="0.25">
      <c r="B8" s="1" t="s">
        <v>16</v>
      </c>
      <c r="C8" s="2">
        <v>3.4443999999999999</v>
      </c>
      <c r="D8" s="2">
        <v>5.5833000000000004</v>
      </c>
      <c r="E8" s="2">
        <v>3.25</v>
      </c>
      <c r="F8" s="2">
        <v>4.1388999999999996</v>
      </c>
      <c r="G8" s="2">
        <v>3.1943999999999999</v>
      </c>
      <c r="H8" s="2">
        <v>3.1943999999999999</v>
      </c>
      <c r="J8" s="1" t="s">
        <v>16</v>
      </c>
      <c r="K8" s="2">
        <v>2</v>
      </c>
      <c r="L8" s="2">
        <v>4</v>
      </c>
      <c r="M8" s="2">
        <v>1</v>
      </c>
      <c r="N8" s="2">
        <v>1</v>
      </c>
      <c r="O8" s="2">
        <v>1</v>
      </c>
      <c r="P8" s="2">
        <v>1</v>
      </c>
    </row>
    <row r="9" spans="2:16" x14ac:dyDescent="0.25">
      <c r="B9" s="1" t="s">
        <v>17</v>
      </c>
      <c r="C9" s="2">
        <v>4.5138999999999996</v>
      </c>
      <c r="D9" s="2">
        <v>5.5138999999999996</v>
      </c>
      <c r="E9" s="2">
        <v>4.2638999999999996</v>
      </c>
      <c r="F9" s="2">
        <v>4.5693999999999999</v>
      </c>
      <c r="G9" s="2">
        <v>4.375</v>
      </c>
      <c r="H9" s="2">
        <v>4.4028</v>
      </c>
      <c r="J9" s="1" t="s">
        <v>17</v>
      </c>
      <c r="K9" s="2">
        <v>3</v>
      </c>
      <c r="L9" s="2">
        <v>3</v>
      </c>
      <c r="M9" s="2">
        <v>3</v>
      </c>
      <c r="N9" s="2">
        <v>3</v>
      </c>
      <c r="O9" s="2">
        <v>3</v>
      </c>
      <c r="P9" s="2">
        <v>3</v>
      </c>
    </row>
    <row r="10" spans="2:16" x14ac:dyDescent="0.25">
      <c r="B10" s="1" t="s">
        <v>18</v>
      </c>
      <c r="C10" s="2">
        <v>6.9443999999999999</v>
      </c>
      <c r="D10" s="2">
        <v>8.5972000000000008</v>
      </c>
      <c r="E10" s="2">
        <v>7.3056000000000001</v>
      </c>
      <c r="F10" s="2">
        <v>6.75</v>
      </c>
      <c r="G10" s="2">
        <v>6.8056000000000001</v>
      </c>
      <c r="H10" s="2">
        <v>6.8056000000000001</v>
      </c>
      <c r="J10" s="1" t="s">
        <v>18</v>
      </c>
      <c r="K10" s="2">
        <v>6</v>
      </c>
      <c r="L10" s="2">
        <v>9</v>
      </c>
      <c r="M10" s="2">
        <v>8</v>
      </c>
      <c r="N10" s="2">
        <v>7</v>
      </c>
      <c r="O10" s="2">
        <v>6</v>
      </c>
      <c r="P10" s="2">
        <v>6</v>
      </c>
    </row>
    <row r="11" spans="2:16" x14ac:dyDescent="0.25">
      <c r="B11" s="1" t="s">
        <v>19</v>
      </c>
      <c r="C11" s="2">
        <v>10.972200000000001</v>
      </c>
      <c r="D11" s="2">
        <v>12.1389</v>
      </c>
      <c r="E11" s="2">
        <v>10.916700000000001</v>
      </c>
      <c r="F11" s="2">
        <v>11.1944</v>
      </c>
      <c r="G11" s="2">
        <v>10.8889</v>
      </c>
      <c r="H11" s="2">
        <v>10.8889</v>
      </c>
      <c r="J11" s="1" t="s">
        <v>19</v>
      </c>
      <c r="K11" s="2">
        <v>12</v>
      </c>
      <c r="L11" s="2">
        <v>14</v>
      </c>
      <c r="M11" s="2">
        <v>12</v>
      </c>
      <c r="N11" s="2">
        <v>12</v>
      </c>
      <c r="O11" s="2">
        <v>11</v>
      </c>
      <c r="P11" s="2">
        <v>12</v>
      </c>
    </row>
    <row r="12" spans="2:16" x14ac:dyDescent="0.25">
      <c r="B12" s="1" t="s">
        <v>20</v>
      </c>
      <c r="C12" s="2">
        <v>9.0556000000000001</v>
      </c>
      <c r="D12" s="2">
        <v>10.1389</v>
      </c>
      <c r="E12" s="2">
        <v>8.4722000000000008</v>
      </c>
      <c r="F12" s="2">
        <v>9.2222000000000008</v>
      </c>
      <c r="G12" s="2">
        <v>8.4167000000000005</v>
      </c>
      <c r="H12" s="2">
        <v>8.4167000000000005</v>
      </c>
      <c r="J12" s="1" t="s">
        <v>20</v>
      </c>
      <c r="K12" s="2">
        <v>10</v>
      </c>
      <c r="L12" s="2">
        <v>13</v>
      </c>
      <c r="M12" s="2">
        <v>10</v>
      </c>
      <c r="N12" s="2">
        <v>10</v>
      </c>
      <c r="O12" s="2">
        <v>10</v>
      </c>
      <c r="P12" s="2">
        <v>10</v>
      </c>
    </row>
    <row r="13" spans="2:16" x14ac:dyDescent="0.25">
      <c r="B13" s="1" t="s">
        <v>21</v>
      </c>
      <c r="C13" s="2">
        <v>6.9443999999999999</v>
      </c>
      <c r="D13" s="2">
        <v>8.5972000000000008</v>
      </c>
      <c r="E13" s="2">
        <v>7.3056000000000001</v>
      </c>
      <c r="F13" s="2">
        <v>6.75</v>
      </c>
      <c r="G13" s="2">
        <v>6.8056000000000001</v>
      </c>
      <c r="H13" s="2">
        <v>6.8056000000000001</v>
      </c>
      <c r="J13" s="1" t="s">
        <v>21</v>
      </c>
      <c r="K13" s="2">
        <v>6</v>
      </c>
      <c r="L13" s="2">
        <v>9</v>
      </c>
      <c r="M13" s="2">
        <v>8</v>
      </c>
      <c r="N13" s="2">
        <v>7</v>
      </c>
      <c r="O13" s="2">
        <v>6</v>
      </c>
      <c r="P13" s="2">
        <v>6</v>
      </c>
    </row>
    <row r="14" spans="2:16" x14ac:dyDescent="0.25">
      <c r="B14" s="1" t="s">
        <v>22</v>
      </c>
      <c r="C14" s="2">
        <v>16</v>
      </c>
      <c r="D14" s="2">
        <v>15.652799999999999</v>
      </c>
      <c r="E14" s="2">
        <v>15.916700000000001</v>
      </c>
      <c r="F14" s="2">
        <v>15.972200000000001</v>
      </c>
      <c r="G14" s="2">
        <v>15.972200000000001</v>
      </c>
      <c r="H14" s="2">
        <v>15.972200000000001</v>
      </c>
      <c r="J14" s="1" t="s">
        <v>22</v>
      </c>
      <c r="K14" s="2">
        <v>16</v>
      </c>
      <c r="L14" s="2">
        <v>16</v>
      </c>
      <c r="M14" s="2">
        <v>16</v>
      </c>
      <c r="N14" s="2">
        <v>16</v>
      </c>
      <c r="O14" s="2">
        <v>16</v>
      </c>
      <c r="P14" s="2">
        <v>16</v>
      </c>
    </row>
    <row r="15" spans="2:16" x14ac:dyDescent="0.25">
      <c r="B15" s="1" t="s">
        <v>25</v>
      </c>
      <c r="C15" s="2">
        <v>6.0833000000000004</v>
      </c>
      <c r="D15" s="2">
        <v>7.7083000000000004</v>
      </c>
      <c r="E15" s="2">
        <v>6.4722</v>
      </c>
      <c r="F15" s="2">
        <v>6.0278</v>
      </c>
      <c r="G15" s="2">
        <v>6.1388999999999996</v>
      </c>
      <c r="H15" s="2">
        <v>6.1388999999999996</v>
      </c>
      <c r="J15" s="1" t="s">
        <v>25</v>
      </c>
      <c r="K15" s="2">
        <v>4</v>
      </c>
      <c r="L15" s="2">
        <v>8</v>
      </c>
      <c r="M15" s="2">
        <v>4</v>
      </c>
      <c r="N15" s="2">
        <v>5</v>
      </c>
      <c r="O15" s="2">
        <v>4</v>
      </c>
      <c r="P15" s="2">
        <v>4</v>
      </c>
    </row>
    <row r="16" spans="2:16" x14ac:dyDescent="0.25">
      <c r="B16" s="1" t="s">
        <v>26</v>
      </c>
      <c r="C16" s="2">
        <v>6.1528</v>
      </c>
      <c r="D16" s="2">
        <v>7.4166999999999996</v>
      </c>
      <c r="E16" s="2">
        <v>6.4861000000000004</v>
      </c>
      <c r="F16" s="2">
        <v>5.9306000000000001</v>
      </c>
      <c r="G16" s="2">
        <v>6.3193999999999999</v>
      </c>
      <c r="H16" s="2">
        <v>6.3193999999999999</v>
      </c>
      <c r="J16" s="1" t="s">
        <v>26</v>
      </c>
      <c r="K16" s="2">
        <v>5</v>
      </c>
      <c r="L16" s="2">
        <v>6</v>
      </c>
      <c r="M16" s="2">
        <v>5</v>
      </c>
      <c r="N16" s="2">
        <v>4</v>
      </c>
      <c r="O16" s="2">
        <v>5</v>
      </c>
      <c r="P16" s="2">
        <v>5</v>
      </c>
    </row>
    <row r="17" spans="2:18" x14ac:dyDescent="0.25">
      <c r="B17" s="1" t="s">
        <v>27</v>
      </c>
      <c r="C17" s="2">
        <v>3.3472</v>
      </c>
      <c r="D17" s="2">
        <v>5.1388999999999996</v>
      </c>
      <c r="E17" s="2">
        <v>3.3472</v>
      </c>
      <c r="F17" s="2">
        <v>4.5416999999999996</v>
      </c>
      <c r="G17" s="2">
        <v>4.0416999999999996</v>
      </c>
      <c r="H17" s="2">
        <v>4.0416999999999996</v>
      </c>
      <c r="J17" s="1" t="s">
        <v>27</v>
      </c>
      <c r="K17" s="2">
        <v>1</v>
      </c>
      <c r="L17" s="2">
        <v>2</v>
      </c>
      <c r="M17" s="2">
        <v>2</v>
      </c>
      <c r="N17" s="2">
        <v>2</v>
      </c>
      <c r="O17" s="2">
        <v>2</v>
      </c>
      <c r="P17" s="2">
        <v>2</v>
      </c>
    </row>
    <row r="18" spans="2:18" x14ac:dyDescent="0.25">
      <c r="B18" s="1" t="s">
        <v>28</v>
      </c>
      <c r="C18" s="2">
        <v>7.25</v>
      </c>
      <c r="D18" s="2">
        <v>1.8193999999999999</v>
      </c>
      <c r="E18" s="2">
        <v>7.1806000000000001</v>
      </c>
      <c r="F18" s="2">
        <v>6.1111000000000004</v>
      </c>
      <c r="G18" s="2">
        <v>7.9166999999999996</v>
      </c>
      <c r="H18" s="2">
        <v>7.8888999999999996</v>
      </c>
      <c r="J18" s="1" t="s">
        <v>28</v>
      </c>
      <c r="K18" s="2">
        <v>9</v>
      </c>
      <c r="L18" s="2">
        <v>1</v>
      </c>
      <c r="M18" s="2">
        <v>7</v>
      </c>
      <c r="N18" s="2">
        <v>6</v>
      </c>
      <c r="O18" s="2">
        <v>9</v>
      </c>
      <c r="P18" s="2">
        <v>9</v>
      </c>
    </row>
    <row r="20" spans="2:18" x14ac:dyDescent="0.25">
      <c r="B20" s="1" t="s">
        <v>0</v>
      </c>
      <c r="C20" s="1" t="s">
        <v>4</v>
      </c>
      <c r="E20" s="1" t="s">
        <v>0</v>
      </c>
      <c r="F20" s="1" t="s">
        <v>5</v>
      </c>
      <c r="H20" s="1" t="s">
        <v>0</v>
      </c>
      <c r="I20" s="1" t="s">
        <v>6</v>
      </c>
      <c r="K20" s="1" t="s">
        <v>0</v>
      </c>
      <c r="L20" s="1" t="s">
        <v>7</v>
      </c>
      <c r="N20" s="1" t="s">
        <v>0</v>
      </c>
      <c r="O20" s="1" t="s">
        <v>8</v>
      </c>
      <c r="Q20" s="1" t="s">
        <v>0</v>
      </c>
      <c r="R20" s="1" t="s">
        <v>9</v>
      </c>
    </row>
    <row r="21" spans="2:18" x14ac:dyDescent="0.25">
      <c r="B21" s="1" t="s">
        <v>27</v>
      </c>
      <c r="C21" s="2">
        <v>3.3472</v>
      </c>
      <c r="E21" s="1" t="s">
        <v>28</v>
      </c>
      <c r="F21" s="2">
        <v>1.8193999999999999</v>
      </c>
      <c r="H21" s="1" t="s">
        <v>16</v>
      </c>
      <c r="I21" s="2">
        <v>3.25</v>
      </c>
      <c r="K21" s="1" t="s">
        <v>16</v>
      </c>
      <c r="L21" s="2">
        <v>4.1388999999999996</v>
      </c>
      <c r="N21" s="1" t="s">
        <v>16</v>
      </c>
      <c r="O21" s="2">
        <v>3.1943999999999999</v>
      </c>
      <c r="Q21" s="1" t="s">
        <v>16</v>
      </c>
      <c r="R21" s="2">
        <v>3.1943999999999999</v>
      </c>
    </row>
    <row r="22" spans="2:18" x14ac:dyDescent="0.25">
      <c r="B22" s="1" t="s">
        <v>16</v>
      </c>
      <c r="C22" s="2">
        <v>3.4443999999999999</v>
      </c>
      <c r="E22" s="1" t="s">
        <v>27</v>
      </c>
      <c r="F22" s="2">
        <v>5.1388999999999996</v>
      </c>
      <c r="H22" s="1" t="s">
        <v>27</v>
      </c>
      <c r="I22" s="2">
        <v>3.3472</v>
      </c>
      <c r="K22" s="1" t="s">
        <v>27</v>
      </c>
      <c r="L22" s="2">
        <v>4.5416999999999996</v>
      </c>
      <c r="N22" s="1" t="s">
        <v>27</v>
      </c>
      <c r="O22" s="2">
        <v>4.0416999999999996</v>
      </c>
      <c r="Q22" s="1" t="s">
        <v>27</v>
      </c>
      <c r="R22" s="2">
        <v>4.0416999999999996</v>
      </c>
    </row>
    <row r="23" spans="2:18" x14ac:dyDescent="0.25">
      <c r="B23" s="1" t="s">
        <v>17</v>
      </c>
      <c r="C23" s="2">
        <v>4.5138999999999996</v>
      </c>
      <c r="E23" s="1" t="s">
        <v>17</v>
      </c>
      <c r="F23" s="2">
        <v>5.5138999999999996</v>
      </c>
      <c r="H23" s="1" t="s">
        <v>17</v>
      </c>
      <c r="I23" s="2">
        <v>4.2638999999999996</v>
      </c>
      <c r="K23" s="1" t="s">
        <v>17</v>
      </c>
      <c r="L23" s="2">
        <v>4.5693999999999999</v>
      </c>
      <c r="N23" s="1" t="s">
        <v>17</v>
      </c>
      <c r="O23" s="2">
        <v>4.375</v>
      </c>
      <c r="Q23" s="1" t="s">
        <v>17</v>
      </c>
      <c r="R23" s="2">
        <v>4.4028</v>
      </c>
    </row>
    <row r="24" spans="2:18" x14ac:dyDescent="0.25">
      <c r="B24" s="1" t="s">
        <v>25</v>
      </c>
      <c r="C24" s="2">
        <v>6.0833000000000004</v>
      </c>
      <c r="E24" s="1" t="s">
        <v>16</v>
      </c>
      <c r="F24" s="2">
        <v>5.5833000000000004</v>
      </c>
      <c r="H24" s="1" t="s">
        <v>25</v>
      </c>
      <c r="I24" s="2">
        <v>6.4722</v>
      </c>
      <c r="K24" s="1" t="s">
        <v>26</v>
      </c>
      <c r="L24" s="2">
        <v>5.9306000000000001</v>
      </c>
      <c r="N24" s="1" t="s">
        <v>25</v>
      </c>
      <c r="O24" s="2">
        <v>6.1388999999999996</v>
      </c>
      <c r="Q24" s="1" t="s">
        <v>25</v>
      </c>
      <c r="R24" s="2">
        <v>6.1388999999999996</v>
      </c>
    </row>
    <row r="25" spans="2:18" x14ac:dyDescent="0.25">
      <c r="B25" s="1" t="s">
        <v>26</v>
      </c>
      <c r="C25" s="2">
        <v>6.1528</v>
      </c>
      <c r="E25" s="1" t="s">
        <v>14</v>
      </c>
      <c r="F25" s="2">
        <v>7.3888999999999996</v>
      </c>
      <c r="H25" s="1" t="s">
        <v>26</v>
      </c>
      <c r="I25" s="2">
        <v>6.4861000000000004</v>
      </c>
      <c r="K25" s="1" t="s">
        <v>25</v>
      </c>
      <c r="L25" s="2">
        <v>6.0278</v>
      </c>
      <c r="N25" s="1" t="s">
        <v>26</v>
      </c>
      <c r="O25" s="2">
        <v>6.3193999999999999</v>
      </c>
      <c r="Q25" s="1" t="s">
        <v>26</v>
      </c>
      <c r="R25" s="2">
        <v>6.3193999999999999</v>
      </c>
    </row>
    <row r="26" spans="2:18" x14ac:dyDescent="0.25">
      <c r="B26" s="1" t="s">
        <v>18</v>
      </c>
      <c r="C26" s="2">
        <v>6.9443999999999999</v>
      </c>
      <c r="E26" s="1" t="s">
        <v>26</v>
      </c>
      <c r="F26" s="2">
        <v>7.4166999999999996</v>
      </c>
      <c r="H26" s="1" t="s">
        <v>12</v>
      </c>
      <c r="I26" s="2">
        <v>6.7361000000000004</v>
      </c>
      <c r="K26" s="1" t="s">
        <v>28</v>
      </c>
      <c r="L26" s="2">
        <v>6.1111000000000004</v>
      </c>
      <c r="N26" s="1" t="s">
        <v>18</v>
      </c>
      <c r="O26" s="2">
        <v>6.8056000000000001</v>
      </c>
      <c r="Q26" s="1" t="s">
        <v>18</v>
      </c>
      <c r="R26" s="2">
        <v>6.8056000000000001</v>
      </c>
    </row>
    <row r="27" spans="2:18" x14ac:dyDescent="0.25">
      <c r="B27" s="1" t="s">
        <v>21</v>
      </c>
      <c r="C27" s="2">
        <v>6.9443999999999999</v>
      </c>
      <c r="E27" s="1" t="s">
        <v>12</v>
      </c>
      <c r="F27" s="2">
        <v>7.5972</v>
      </c>
      <c r="H27" s="1" t="s">
        <v>28</v>
      </c>
      <c r="I27" s="2">
        <v>7.1806000000000001</v>
      </c>
      <c r="K27" s="1" t="s">
        <v>18</v>
      </c>
      <c r="L27" s="2">
        <v>6.75</v>
      </c>
      <c r="N27" s="1" t="s">
        <v>21</v>
      </c>
      <c r="O27" s="2">
        <v>6.8056000000000001</v>
      </c>
      <c r="P27" s="3"/>
      <c r="Q27" s="1" t="s">
        <v>21</v>
      </c>
      <c r="R27" s="2">
        <v>6.8056000000000001</v>
      </c>
    </row>
    <row r="28" spans="2:18" x14ac:dyDescent="0.25">
      <c r="B28" s="1" t="s">
        <v>12</v>
      </c>
      <c r="C28" s="2">
        <v>7.125</v>
      </c>
      <c r="E28" s="1" t="s">
        <v>25</v>
      </c>
      <c r="F28" s="2">
        <v>7.7083000000000004</v>
      </c>
      <c r="H28" s="1" t="s">
        <v>18</v>
      </c>
      <c r="I28" s="2">
        <v>7.3056000000000001</v>
      </c>
      <c r="K28" s="1" t="s">
        <v>21</v>
      </c>
      <c r="L28" s="2">
        <v>6.75</v>
      </c>
      <c r="N28" s="1" t="s">
        <v>12</v>
      </c>
      <c r="O28" s="2">
        <v>7.5693999999999999</v>
      </c>
      <c r="Q28" s="1" t="s">
        <v>12</v>
      </c>
      <c r="R28" s="2">
        <v>6.9306000000000001</v>
      </c>
    </row>
    <row r="29" spans="2:18" x14ac:dyDescent="0.25">
      <c r="B29" s="1" t="s">
        <v>28</v>
      </c>
      <c r="C29" s="2">
        <v>7.25</v>
      </c>
      <c r="E29" s="1" t="s">
        <v>18</v>
      </c>
      <c r="F29" s="2">
        <v>8.5972000000000008</v>
      </c>
      <c r="H29" s="1" t="s">
        <v>21</v>
      </c>
      <c r="I29" s="2">
        <v>7.3056000000000001</v>
      </c>
      <c r="K29" s="1" t="s">
        <v>12</v>
      </c>
      <c r="L29" s="2">
        <v>6.9028</v>
      </c>
      <c r="N29" s="1" t="s">
        <v>28</v>
      </c>
      <c r="O29" s="2">
        <v>7.9166999999999996</v>
      </c>
      <c r="Q29" s="1" t="s">
        <v>28</v>
      </c>
      <c r="R29" s="2">
        <v>7.8888999999999996</v>
      </c>
    </row>
    <row r="30" spans="2:18" x14ac:dyDescent="0.25">
      <c r="B30" s="1" t="s">
        <v>20</v>
      </c>
      <c r="C30" s="2">
        <v>9.0556000000000001</v>
      </c>
      <c r="E30" s="1" t="s">
        <v>21</v>
      </c>
      <c r="F30" s="2">
        <v>8.5972000000000008</v>
      </c>
      <c r="H30" s="1" t="s">
        <v>20</v>
      </c>
      <c r="I30" s="2">
        <v>8.4722000000000008</v>
      </c>
      <c r="K30" s="1" t="s">
        <v>20</v>
      </c>
      <c r="L30" s="2">
        <v>9.2222000000000008</v>
      </c>
      <c r="N30" s="1" t="s">
        <v>20</v>
      </c>
      <c r="O30" s="2">
        <v>8.4167000000000005</v>
      </c>
      <c r="Q30" s="1" t="s">
        <v>20</v>
      </c>
      <c r="R30" s="2">
        <v>8.4167000000000005</v>
      </c>
    </row>
    <row r="31" spans="2:18" x14ac:dyDescent="0.25">
      <c r="B31" s="1" t="s">
        <v>13</v>
      </c>
      <c r="C31" s="2">
        <v>9.6388999999999996</v>
      </c>
      <c r="E31" s="1" t="s">
        <v>11</v>
      </c>
      <c r="F31" s="2">
        <v>8.7777999999999992</v>
      </c>
      <c r="H31" s="1" t="s">
        <v>13</v>
      </c>
      <c r="I31" s="2">
        <v>10</v>
      </c>
      <c r="K31" s="1" t="s">
        <v>14</v>
      </c>
      <c r="L31" s="2">
        <v>10.166700000000001</v>
      </c>
      <c r="N31" s="1" t="s">
        <v>19</v>
      </c>
      <c r="O31" s="2">
        <v>10.8889</v>
      </c>
      <c r="Q31" s="1" t="s">
        <v>13</v>
      </c>
      <c r="R31" s="2">
        <v>10.833299999999999</v>
      </c>
    </row>
    <row r="32" spans="2:18" x14ac:dyDescent="0.25">
      <c r="B32" s="1" t="s">
        <v>19</v>
      </c>
      <c r="C32" s="2">
        <v>10.972200000000001</v>
      </c>
      <c r="E32" s="1" t="s">
        <v>13</v>
      </c>
      <c r="F32" s="2">
        <v>10.125</v>
      </c>
      <c r="H32" s="1" t="s">
        <v>19</v>
      </c>
      <c r="I32" s="2">
        <v>10.916700000000001</v>
      </c>
      <c r="K32" s="1" t="s">
        <v>19</v>
      </c>
      <c r="L32" s="2">
        <v>11.1944</v>
      </c>
      <c r="N32" s="1" t="s">
        <v>13</v>
      </c>
      <c r="O32" s="2">
        <v>10.8056</v>
      </c>
      <c r="Q32" s="1" t="s">
        <v>19</v>
      </c>
      <c r="R32" s="2">
        <v>10.8889</v>
      </c>
    </row>
    <row r="33" spans="2:18" x14ac:dyDescent="0.25">
      <c r="B33" s="1" t="s">
        <v>14</v>
      </c>
      <c r="C33" s="2">
        <v>11.6111</v>
      </c>
      <c r="E33" s="1" t="s">
        <v>20</v>
      </c>
      <c r="F33" s="2">
        <v>10.1389</v>
      </c>
      <c r="H33" s="1" t="s">
        <v>14</v>
      </c>
      <c r="I33" s="2">
        <v>11.347200000000001</v>
      </c>
      <c r="K33" s="1" t="s">
        <v>13</v>
      </c>
      <c r="L33" s="2">
        <v>11.3611</v>
      </c>
      <c r="N33" s="1" t="s">
        <v>14</v>
      </c>
      <c r="O33" s="2">
        <v>11.277799999999999</v>
      </c>
      <c r="Q33" s="1" t="s">
        <v>14</v>
      </c>
      <c r="R33" s="2">
        <v>11.25</v>
      </c>
    </row>
    <row r="34" spans="2:18" x14ac:dyDescent="0.25">
      <c r="B34" s="1" t="s">
        <v>11</v>
      </c>
      <c r="C34" s="2">
        <v>12.75</v>
      </c>
      <c r="E34" s="1" t="s">
        <v>19</v>
      </c>
      <c r="F34" s="2">
        <v>12.1389</v>
      </c>
      <c r="H34" s="1" t="s">
        <v>11</v>
      </c>
      <c r="I34" s="2">
        <v>13.027799999999999</v>
      </c>
      <c r="K34" s="1" t="s">
        <v>11</v>
      </c>
      <c r="L34" s="2">
        <v>12.1111</v>
      </c>
      <c r="N34" s="1" t="s">
        <v>11</v>
      </c>
      <c r="O34" s="2">
        <v>12.277799999999999</v>
      </c>
      <c r="Q34" s="1" t="s">
        <v>11</v>
      </c>
      <c r="R34" s="2">
        <v>12.277799999999999</v>
      </c>
    </row>
    <row r="35" spans="2:18" x14ac:dyDescent="0.25">
      <c r="B35" s="1" t="s">
        <v>15</v>
      </c>
      <c r="C35" s="2">
        <v>14.166700000000001</v>
      </c>
      <c r="E35" s="1" t="s">
        <v>15</v>
      </c>
      <c r="F35" s="2">
        <v>13.8056</v>
      </c>
      <c r="H35" s="1" t="s">
        <v>15</v>
      </c>
      <c r="I35" s="2">
        <v>13.972200000000001</v>
      </c>
      <c r="K35" s="1" t="s">
        <v>15</v>
      </c>
      <c r="L35" s="2">
        <v>14.25</v>
      </c>
      <c r="N35" s="1" t="s">
        <v>15</v>
      </c>
      <c r="O35" s="2">
        <v>13.833299999999999</v>
      </c>
      <c r="Q35" s="1" t="s">
        <v>15</v>
      </c>
      <c r="R35" s="2">
        <v>13.833299999999999</v>
      </c>
    </row>
    <row r="36" spans="2:18" x14ac:dyDescent="0.25">
      <c r="B36" s="1" t="s">
        <v>22</v>
      </c>
      <c r="C36" s="2">
        <v>16</v>
      </c>
      <c r="E36" s="1" t="s">
        <v>22</v>
      </c>
      <c r="F36" s="2">
        <v>15.652799999999999</v>
      </c>
      <c r="H36" s="1" t="s">
        <v>22</v>
      </c>
      <c r="I36" s="2">
        <v>15.916700000000001</v>
      </c>
      <c r="K36" s="1" t="s">
        <v>22</v>
      </c>
      <c r="L36" s="2">
        <v>15.972200000000001</v>
      </c>
      <c r="M36" s="3"/>
      <c r="N36" s="1" t="s">
        <v>22</v>
      </c>
      <c r="O36" s="2">
        <v>15.972200000000001</v>
      </c>
      <c r="P36" s="3"/>
      <c r="Q36" s="1" t="s">
        <v>22</v>
      </c>
      <c r="R36" s="2">
        <v>15.972200000000001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6C554-E725-4CA9-8643-9E7D7E41E0F9}">
  <sheetPr codeName="Hoja5"/>
  <dimension ref="B2:F36"/>
  <sheetViews>
    <sheetView zoomScale="90" zoomScaleNormal="90" workbookViewId="0">
      <selection activeCell="E2" sqref="E2:E18"/>
    </sheetView>
  </sheetViews>
  <sheetFormatPr baseColWidth="10" defaultRowHeight="15" x14ac:dyDescent="0.25"/>
  <sheetData>
    <row r="2" spans="2:6" x14ac:dyDescent="0.25">
      <c r="B2" s="1" t="s">
        <v>0</v>
      </c>
      <c r="C2" s="1" t="s">
        <v>10</v>
      </c>
      <c r="E2" s="1" t="s">
        <v>0</v>
      </c>
      <c r="F2" s="1" t="s">
        <v>10</v>
      </c>
    </row>
    <row r="3" spans="2:6" x14ac:dyDescent="0.25">
      <c r="B3" s="1" t="s">
        <v>11</v>
      </c>
      <c r="C3" s="2">
        <v>5.4443999999999999</v>
      </c>
      <c r="E3" s="1" t="s">
        <v>11</v>
      </c>
      <c r="F3" s="2">
        <v>6</v>
      </c>
    </row>
    <row r="4" spans="2:6" x14ac:dyDescent="0.25">
      <c r="B4" s="1" t="s">
        <v>12</v>
      </c>
      <c r="C4" s="2">
        <v>4.1666999999999996</v>
      </c>
      <c r="E4" s="1" t="s">
        <v>12</v>
      </c>
      <c r="F4" s="2">
        <v>4</v>
      </c>
    </row>
    <row r="5" spans="2:6" x14ac:dyDescent="0.25">
      <c r="B5" s="1" t="s">
        <v>13</v>
      </c>
      <c r="C5" s="2">
        <v>15</v>
      </c>
      <c r="E5" s="1" t="s">
        <v>13</v>
      </c>
      <c r="F5" s="2">
        <v>15</v>
      </c>
    </row>
    <row r="6" spans="2:6" x14ac:dyDescent="0.25">
      <c r="B6" s="1" t="s">
        <v>14</v>
      </c>
      <c r="C6" s="2">
        <v>9.9443999999999999</v>
      </c>
      <c r="E6" s="1" t="s">
        <v>14</v>
      </c>
      <c r="F6" s="2">
        <v>10</v>
      </c>
    </row>
    <row r="7" spans="2:6" x14ac:dyDescent="0.25">
      <c r="B7" s="1" t="s">
        <v>15</v>
      </c>
      <c r="C7" s="2">
        <v>4.1528</v>
      </c>
      <c r="E7" s="1" t="s">
        <v>15</v>
      </c>
      <c r="F7" s="2">
        <v>3</v>
      </c>
    </row>
    <row r="8" spans="2:6" x14ac:dyDescent="0.25">
      <c r="B8" s="1" t="s">
        <v>16</v>
      </c>
      <c r="C8" s="2">
        <v>13.8889</v>
      </c>
      <c r="E8" s="1" t="s">
        <v>16</v>
      </c>
      <c r="F8" s="2">
        <v>14</v>
      </c>
    </row>
    <row r="9" spans="2:6" x14ac:dyDescent="0.25">
      <c r="B9" s="1" t="s">
        <v>17</v>
      </c>
      <c r="C9" s="2">
        <v>13</v>
      </c>
      <c r="E9" s="1" t="s">
        <v>17</v>
      </c>
      <c r="F9" s="2">
        <v>13</v>
      </c>
    </row>
    <row r="10" spans="2:6" x14ac:dyDescent="0.25">
      <c r="B10" s="1" t="s">
        <v>18</v>
      </c>
      <c r="C10" s="2">
        <v>3.7361</v>
      </c>
      <c r="E10" s="1" t="s">
        <v>18</v>
      </c>
      <c r="F10" s="2">
        <v>2</v>
      </c>
    </row>
    <row r="11" spans="2:6" x14ac:dyDescent="0.25">
      <c r="B11" s="1" t="s">
        <v>19</v>
      </c>
      <c r="C11" s="2">
        <v>8.7917000000000005</v>
      </c>
      <c r="E11" s="1" t="s">
        <v>19</v>
      </c>
      <c r="F11" s="2">
        <v>9</v>
      </c>
    </row>
    <row r="12" spans="2:6" x14ac:dyDescent="0.25">
      <c r="B12" s="1" t="s">
        <v>20</v>
      </c>
      <c r="C12" s="2">
        <v>16</v>
      </c>
      <c r="E12" s="1" t="s">
        <v>20</v>
      </c>
      <c r="F12" s="2">
        <v>16</v>
      </c>
    </row>
    <row r="13" spans="2:6" x14ac:dyDescent="0.25">
      <c r="B13" s="1" t="s">
        <v>21</v>
      </c>
      <c r="C13" s="2">
        <v>5.4861000000000004</v>
      </c>
      <c r="E13" s="1" t="s">
        <v>21</v>
      </c>
      <c r="F13" s="2">
        <v>7</v>
      </c>
    </row>
    <row r="14" spans="2:6" x14ac:dyDescent="0.25">
      <c r="B14" s="1" t="s">
        <v>22</v>
      </c>
      <c r="C14" s="2">
        <v>1.7639</v>
      </c>
      <c r="E14" s="1" t="s">
        <v>22</v>
      </c>
      <c r="F14" s="2">
        <v>1</v>
      </c>
    </row>
    <row r="15" spans="2:6" x14ac:dyDescent="0.25">
      <c r="B15" s="1" t="s">
        <v>25</v>
      </c>
      <c r="C15" s="2">
        <v>5.1528</v>
      </c>
      <c r="E15" s="1" t="s">
        <v>25</v>
      </c>
      <c r="F15" s="2">
        <v>5</v>
      </c>
    </row>
    <row r="16" spans="2:6" x14ac:dyDescent="0.25">
      <c r="B16" s="1" t="s">
        <v>26</v>
      </c>
      <c r="C16" s="2">
        <v>6.4443999999999999</v>
      </c>
      <c r="E16" s="1" t="s">
        <v>26</v>
      </c>
      <c r="F16" s="2">
        <v>8</v>
      </c>
    </row>
    <row r="17" spans="2:6" x14ac:dyDescent="0.25">
      <c r="B17" s="1" t="s">
        <v>27</v>
      </c>
      <c r="C17" s="2">
        <v>11.416700000000001</v>
      </c>
      <c r="E17" s="1" t="s">
        <v>27</v>
      </c>
      <c r="F17" s="2">
        <v>11</v>
      </c>
    </row>
    <row r="18" spans="2:6" x14ac:dyDescent="0.25">
      <c r="B18" s="1" t="s">
        <v>28</v>
      </c>
      <c r="C18" s="2">
        <v>11.6111</v>
      </c>
      <c r="E18" s="1" t="s">
        <v>28</v>
      </c>
      <c r="F18" s="2">
        <v>12</v>
      </c>
    </row>
    <row r="20" spans="2:6" x14ac:dyDescent="0.25">
      <c r="B20" s="1" t="s">
        <v>0</v>
      </c>
      <c r="C20" s="1" t="s">
        <v>10</v>
      </c>
    </row>
    <row r="21" spans="2:6" x14ac:dyDescent="0.25">
      <c r="B21" s="1" t="s">
        <v>22</v>
      </c>
      <c r="C21" s="2">
        <v>1.7639</v>
      </c>
    </row>
    <row r="22" spans="2:6" x14ac:dyDescent="0.25">
      <c r="B22" s="1" t="s">
        <v>18</v>
      </c>
      <c r="C22" s="2">
        <v>3.7361</v>
      </c>
    </row>
    <row r="23" spans="2:6" x14ac:dyDescent="0.25">
      <c r="B23" s="1" t="s">
        <v>15</v>
      </c>
      <c r="C23" s="2">
        <v>4.1528</v>
      </c>
    </row>
    <row r="24" spans="2:6" x14ac:dyDescent="0.25">
      <c r="B24" s="1" t="s">
        <v>12</v>
      </c>
      <c r="C24" s="2">
        <v>4.1666999999999996</v>
      </c>
    </row>
    <row r="25" spans="2:6" x14ac:dyDescent="0.25">
      <c r="B25" s="1" t="s">
        <v>25</v>
      </c>
      <c r="C25" s="2">
        <v>5.1528</v>
      </c>
    </row>
    <row r="26" spans="2:6" x14ac:dyDescent="0.25">
      <c r="B26" s="1" t="s">
        <v>11</v>
      </c>
      <c r="C26" s="2">
        <v>5.4443999999999999</v>
      </c>
    </row>
    <row r="27" spans="2:6" x14ac:dyDescent="0.25">
      <c r="B27" s="1" t="s">
        <v>21</v>
      </c>
      <c r="C27" s="2">
        <v>5.4861000000000004</v>
      </c>
    </row>
    <row r="28" spans="2:6" x14ac:dyDescent="0.25">
      <c r="B28" s="1" t="s">
        <v>26</v>
      </c>
      <c r="C28" s="2">
        <v>6.4443999999999999</v>
      </c>
    </row>
    <row r="29" spans="2:6" x14ac:dyDescent="0.25">
      <c r="B29" s="1" t="s">
        <v>19</v>
      </c>
      <c r="C29" s="2">
        <v>8.7917000000000005</v>
      </c>
    </row>
    <row r="30" spans="2:6" x14ac:dyDescent="0.25">
      <c r="B30" s="1" t="s">
        <v>14</v>
      </c>
      <c r="C30" s="2">
        <v>9.9443999999999999</v>
      </c>
    </row>
    <row r="31" spans="2:6" x14ac:dyDescent="0.25">
      <c r="B31" s="1" t="s">
        <v>27</v>
      </c>
      <c r="C31" s="2">
        <v>11.416700000000001</v>
      </c>
    </row>
    <row r="32" spans="2:6" x14ac:dyDescent="0.25">
      <c r="B32" s="1" t="s">
        <v>28</v>
      </c>
      <c r="C32" s="2">
        <v>11.6111</v>
      </c>
    </row>
    <row r="33" spans="2:3" x14ac:dyDescent="0.25">
      <c r="B33" s="1" t="s">
        <v>17</v>
      </c>
      <c r="C33" s="2">
        <v>13</v>
      </c>
    </row>
    <row r="34" spans="2:3" x14ac:dyDescent="0.25">
      <c r="B34" s="1" t="s">
        <v>16</v>
      </c>
      <c r="C34" s="2">
        <v>13.8889</v>
      </c>
    </row>
    <row r="35" spans="2:3" x14ac:dyDescent="0.25">
      <c r="B35" s="1" t="s">
        <v>13</v>
      </c>
      <c r="C35" s="2">
        <v>15</v>
      </c>
    </row>
    <row r="36" spans="2:3" x14ac:dyDescent="0.25">
      <c r="B36" s="1" t="s">
        <v>20</v>
      </c>
      <c r="C36" s="2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96B0-F926-4735-A6B9-CAA6C1B2D34E}">
  <dimension ref="B2:F36"/>
  <sheetViews>
    <sheetView workbookViewId="0">
      <selection activeCell="F8" sqref="E8:F8"/>
    </sheetView>
  </sheetViews>
  <sheetFormatPr baseColWidth="10" defaultRowHeight="15" x14ac:dyDescent="0.25"/>
  <sheetData>
    <row r="2" spans="2:6" x14ac:dyDescent="0.25">
      <c r="B2" s="1" t="s">
        <v>0</v>
      </c>
      <c r="C2" s="102" t="s">
        <v>64</v>
      </c>
      <c r="E2" s="1" t="s">
        <v>0</v>
      </c>
      <c r="F2" s="102" t="s">
        <v>64</v>
      </c>
    </row>
    <row r="3" spans="2:6" x14ac:dyDescent="0.25">
      <c r="B3" s="1" t="s">
        <v>11</v>
      </c>
      <c r="C3" s="2">
        <v>3.6943999999999999</v>
      </c>
      <c r="E3" s="1" t="s">
        <v>11</v>
      </c>
      <c r="F3" s="2">
        <v>2</v>
      </c>
    </row>
    <row r="4" spans="2:6" x14ac:dyDescent="0.25">
      <c r="B4" s="1" t="s">
        <v>12</v>
      </c>
      <c r="C4" s="2">
        <v>6.3056000000000001</v>
      </c>
      <c r="E4" s="1" t="s">
        <v>12</v>
      </c>
      <c r="F4" s="2">
        <v>3</v>
      </c>
    </row>
    <row r="5" spans="2:6" x14ac:dyDescent="0.25">
      <c r="B5" s="1" t="s">
        <v>13</v>
      </c>
      <c r="C5" s="2">
        <v>11</v>
      </c>
      <c r="E5" s="1" t="s">
        <v>13</v>
      </c>
      <c r="F5" s="2">
        <v>12</v>
      </c>
    </row>
    <row r="6" spans="2:6" x14ac:dyDescent="0.25">
      <c r="B6" s="1" t="s">
        <v>14</v>
      </c>
      <c r="C6" s="2">
        <v>8.2222000000000008</v>
      </c>
      <c r="E6" s="1" t="s">
        <v>14</v>
      </c>
      <c r="F6" s="2">
        <v>7</v>
      </c>
    </row>
    <row r="7" spans="2:6" x14ac:dyDescent="0.25">
      <c r="B7" s="1" t="s">
        <v>15</v>
      </c>
      <c r="C7" s="2">
        <v>6.6388999999999996</v>
      </c>
      <c r="E7" s="1" t="s">
        <v>15</v>
      </c>
      <c r="F7" s="2">
        <v>4</v>
      </c>
    </row>
    <row r="8" spans="2:6" x14ac:dyDescent="0.25">
      <c r="B8" s="1" t="s">
        <v>16</v>
      </c>
      <c r="C8" s="2">
        <v>10.6111</v>
      </c>
      <c r="E8" s="1" t="s">
        <v>16</v>
      </c>
      <c r="F8" s="2">
        <v>11</v>
      </c>
    </row>
    <row r="9" spans="2:6" x14ac:dyDescent="0.25">
      <c r="B9" s="1" t="s">
        <v>17</v>
      </c>
      <c r="C9" s="2">
        <v>6.6943999999999999</v>
      </c>
      <c r="E9" s="1" t="s">
        <v>17</v>
      </c>
      <c r="F9" s="2">
        <v>5</v>
      </c>
    </row>
    <row r="10" spans="2:6" x14ac:dyDescent="0.25">
      <c r="B10" s="1" t="s">
        <v>18</v>
      </c>
      <c r="C10" s="2">
        <v>11.958299999999999</v>
      </c>
      <c r="E10" s="1" t="s">
        <v>18</v>
      </c>
      <c r="F10" s="2">
        <v>15</v>
      </c>
    </row>
    <row r="11" spans="2:6" x14ac:dyDescent="0.25">
      <c r="B11" s="1" t="s">
        <v>19</v>
      </c>
      <c r="C11" s="2">
        <v>9.9167000000000005</v>
      </c>
      <c r="E11" s="1" t="s">
        <v>19</v>
      </c>
      <c r="F11" s="2">
        <v>9</v>
      </c>
    </row>
    <row r="12" spans="2:6" x14ac:dyDescent="0.25">
      <c r="B12" s="1" t="s">
        <v>20</v>
      </c>
      <c r="C12" s="2">
        <v>11.527799999999999</v>
      </c>
      <c r="E12" s="1" t="s">
        <v>20</v>
      </c>
      <c r="F12" s="2">
        <v>13</v>
      </c>
    </row>
    <row r="13" spans="2:6" x14ac:dyDescent="0.25">
      <c r="B13" s="1" t="s">
        <v>21</v>
      </c>
      <c r="C13" s="2">
        <v>11.5694</v>
      </c>
      <c r="E13" s="1" t="s">
        <v>21</v>
      </c>
      <c r="F13" s="2">
        <v>14</v>
      </c>
    </row>
    <row r="14" spans="2:6" x14ac:dyDescent="0.25">
      <c r="B14" s="1" t="s">
        <v>22</v>
      </c>
      <c r="C14" s="5">
        <v>17.555599999999998</v>
      </c>
      <c r="E14" s="1" t="s">
        <v>22</v>
      </c>
      <c r="F14" s="2">
        <v>16</v>
      </c>
    </row>
    <row r="15" spans="2:6" x14ac:dyDescent="0.25">
      <c r="B15" s="1" t="s">
        <v>25</v>
      </c>
      <c r="C15" s="2">
        <v>7.75</v>
      </c>
      <c r="E15" s="1" t="s">
        <v>25</v>
      </c>
      <c r="F15" s="2">
        <v>6</v>
      </c>
    </row>
    <row r="16" spans="2:6" x14ac:dyDescent="0.25">
      <c r="B16" s="1" t="s">
        <v>26</v>
      </c>
      <c r="C16" s="2">
        <v>8.9167000000000005</v>
      </c>
      <c r="E16" s="1" t="s">
        <v>26</v>
      </c>
      <c r="F16" s="2">
        <v>8</v>
      </c>
    </row>
    <row r="17" spans="2:6" x14ac:dyDescent="0.25">
      <c r="B17" s="1" t="s">
        <v>27</v>
      </c>
      <c r="C17" s="2">
        <v>9.9443999999999999</v>
      </c>
      <c r="E17" s="1" t="s">
        <v>27</v>
      </c>
      <c r="F17" s="2">
        <v>10</v>
      </c>
    </row>
    <row r="18" spans="2:6" x14ac:dyDescent="0.25">
      <c r="B18" s="1" t="s">
        <v>28</v>
      </c>
      <c r="C18" s="4">
        <v>3.3332999999999999</v>
      </c>
      <c r="E18" s="1" t="s">
        <v>28</v>
      </c>
      <c r="F18" s="2">
        <v>1</v>
      </c>
    </row>
    <row r="20" spans="2:6" x14ac:dyDescent="0.25">
      <c r="B20" s="1" t="s">
        <v>0</v>
      </c>
      <c r="C20" s="102" t="s">
        <v>64</v>
      </c>
    </row>
    <row r="21" spans="2:6" x14ac:dyDescent="0.25">
      <c r="B21" s="1" t="s">
        <v>28</v>
      </c>
      <c r="C21" s="2">
        <v>3.3332999999999999</v>
      </c>
    </row>
    <row r="22" spans="2:6" x14ac:dyDescent="0.25">
      <c r="B22" s="1" t="s">
        <v>11</v>
      </c>
      <c r="C22" s="2">
        <v>3.6943999999999999</v>
      </c>
    </row>
    <row r="23" spans="2:6" x14ac:dyDescent="0.25">
      <c r="B23" s="1" t="s">
        <v>12</v>
      </c>
      <c r="C23" s="2">
        <v>6.3056000000000001</v>
      </c>
    </row>
    <row r="24" spans="2:6" x14ac:dyDescent="0.25">
      <c r="B24" s="1" t="s">
        <v>15</v>
      </c>
      <c r="C24" s="2">
        <v>6.6388999999999996</v>
      </c>
    </row>
    <row r="25" spans="2:6" x14ac:dyDescent="0.25">
      <c r="B25" s="1" t="s">
        <v>17</v>
      </c>
      <c r="C25" s="2">
        <v>6.6943999999999999</v>
      </c>
    </row>
    <row r="26" spans="2:6" x14ac:dyDescent="0.25">
      <c r="B26" s="1" t="s">
        <v>25</v>
      </c>
      <c r="C26" s="2">
        <v>7.75</v>
      </c>
    </row>
    <row r="27" spans="2:6" x14ac:dyDescent="0.25">
      <c r="B27" s="1" t="s">
        <v>14</v>
      </c>
      <c r="C27" s="2">
        <v>8.2222000000000008</v>
      </c>
    </row>
    <row r="28" spans="2:6" x14ac:dyDescent="0.25">
      <c r="B28" s="1" t="s">
        <v>26</v>
      </c>
      <c r="C28" s="2">
        <v>8.9167000000000005</v>
      </c>
    </row>
    <row r="29" spans="2:6" x14ac:dyDescent="0.25">
      <c r="B29" s="1" t="s">
        <v>19</v>
      </c>
      <c r="C29" s="2">
        <v>9.9167000000000005</v>
      </c>
    </row>
    <row r="30" spans="2:6" x14ac:dyDescent="0.25">
      <c r="B30" s="1" t="s">
        <v>27</v>
      </c>
      <c r="C30" s="2">
        <v>9.9443999999999999</v>
      </c>
      <c r="D30" s="3"/>
    </row>
    <row r="31" spans="2:6" x14ac:dyDescent="0.25">
      <c r="B31" s="1" t="s">
        <v>16</v>
      </c>
      <c r="C31" s="2">
        <v>10.6111</v>
      </c>
    </row>
    <row r="32" spans="2:6" x14ac:dyDescent="0.25">
      <c r="B32" s="1" t="s">
        <v>13</v>
      </c>
      <c r="C32" s="2">
        <v>11</v>
      </c>
    </row>
    <row r="33" spans="2:4" x14ac:dyDescent="0.25">
      <c r="B33" s="1" t="s">
        <v>20</v>
      </c>
      <c r="C33" s="2">
        <v>11.527799999999999</v>
      </c>
    </row>
    <row r="34" spans="2:4" x14ac:dyDescent="0.25">
      <c r="B34" s="1" t="s">
        <v>21</v>
      </c>
      <c r="C34" s="2">
        <v>11.5694</v>
      </c>
    </row>
    <row r="35" spans="2:4" x14ac:dyDescent="0.25">
      <c r="B35" s="1" t="s">
        <v>18</v>
      </c>
      <c r="C35" s="2">
        <v>11.958299999999999</v>
      </c>
      <c r="D35" s="3"/>
    </row>
    <row r="36" spans="2:4" x14ac:dyDescent="0.25">
      <c r="B36" s="1" t="s">
        <v>22</v>
      </c>
      <c r="C36" s="2">
        <v>17.555599999999998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E438D-354B-4643-B5CD-ABE2F896C495}">
  <dimension ref="B1:M38"/>
  <sheetViews>
    <sheetView topLeftCell="A8" workbookViewId="0">
      <selection activeCell="H32" sqref="H32"/>
    </sheetView>
  </sheetViews>
  <sheetFormatPr baseColWidth="10" defaultRowHeight="15" x14ac:dyDescent="0.25"/>
  <cols>
    <col min="3" max="3" width="12" customWidth="1"/>
  </cols>
  <sheetData>
    <row r="1" spans="2:13" ht="15.75" thickBot="1" x14ac:dyDescent="0.3"/>
    <row r="2" spans="2:13" x14ac:dyDescent="0.25">
      <c r="B2" s="174" t="s">
        <v>0</v>
      </c>
      <c r="C2" s="177" t="s">
        <v>37</v>
      </c>
      <c r="D2" s="178"/>
      <c r="E2" s="151" t="s">
        <v>33</v>
      </c>
      <c r="F2" s="181" t="s">
        <v>29</v>
      </c>
      <c r="G2" s="149"/>
      <c r="H2" s="149"/>
      <c r="I2" s="149"/>
      <c r="J2" s="149"/>
      <c r="K2" s="182"/>
      <c r="L2" s="151" t="s">
        <v>32</v>
      </c>
      <c r="M2" s="164" t="s">
        <v>66</v>
      </c>
    </row>
    <row r="3" spans="2:13" x14ac:dyDescent="0.25">
      <c r="B3" s="175"/>
      <c r="C3" s="179"/>
      <c r="D3" s="180"/>
      <c r="E3" s="152"/>
      <c r="F3" s="183" t="s">
        <v>30</v>
      </c>
      <c r="G3" s="155"/>
      <c r="H3" s="155"/>
      <c r="I3" s="155" t="s">
        <v>31</v>
      </c>
      <c r="J3" s="155"/>
      <c r="K3" s="184"/>
      <c r="L3" s="152"/>
      <c r="M3" s="165"/>
    </row>
    <row r="4" spans="2:13" ht="15.75" thickBot="1" x14ac:dyDescent="0.3">
      <c r="B4" s="176"/>
      <c r="C4" s="29" t="s">
        <v>1</v>
      </c>
      <c r="D4" s="45" t="s">
        <v>2</v>
      </c>
      <c r="E4" s="36" t="s">
        <v>3</v>
      </c>
      <c r="F4" s="29" t="s">
        <v>4</v>
      </c>
      <c r="G4" s="12" t="s">
        <v>5</v>
      </c>
      <c r="H4" s="12" t="s">
        <v>6</v>
      </c>
      <c r="I4" s="12" t="s">
        <v>7</v>
      </c>
      <c r="J4" s="12" t="s">
        <v>8</v>
      </c>
      <c r="K4" s="45" t="s">
        <v>9</v>
      </c>
      <c r="L4" s="170"/>
      <c r="M4" s="166"/>
    </row>
    <row r="5" spans="2:13" x14ac:dyDescent="0.25">
      <c r="B5" s="37" t="s">
        <v>11</v>
      </c>
      <c r="C5" s="30">
        <v>12.75</v>
      </c>
      <c r="D5" s="19">
        <v>12.527799999999999</v>
      </c>
      <c r="E5" s="46">
        <v>11.8611</v>
      </c>
      <c r="F5" s="30">
        <v>12.75</v>
      </c>
      <c r="G5" s="10">
        <v>8.7777999999999992</v>
      </c>
      <c r="H5" s="10">
        <v>13.027799999999999</v>
      </c>
      <c r="I5" s="10">
        <v>12.1111</v>
      </c>
      <c r="J5" s="10">
        <v>12.277799999999999</v>
      </c>
      <c r="K5" s="19">
        <v>12.277799999999999</v>
      </c>
      <c r="L5" s="46">
        <v>5.4443999999999999</v>
      </c>
      <c r="M5" s="46">
        <v>3.6943999999999999</v>
      </c>
    </row>
    <row r="6" spans="2:13" x14ac:dyDescent="0.25">
      <c r="B6" s="35" t="s">
        <v>12</v>
      </c>
      <c r="C6" s="31">
        <v>7.125</v>
      </c>
      <c r="D6" s="20">
        <v>6.625</v>
      </c>
      <c r="E6" s="47">
        <v>7.0416999999999996</v>
      </c>
      <c r="F6" s="31">
        <v>7.125</v>
      </c>
      <c r="G6" s="2">
        <v>7.5972</v>
      </c>
      <c r="H6" s="2">
        <v>6.7361000000000004</v>
      </c>
      <c r="I6" s="2">
        <v>6.9028</v>
      </c>
      <c r="J6" s="2">
        <v>6.9306000000000001</v>
      </c>
      <c r="K6" s="20">
        <v>6.9306000000000001</v>
      </c>
      <c r="L6" s="47">
        <v>4.1666999999999996</v>
      </c>
      <c r="M6" s="47">
        <v>6.3056000000000001</v>
      </c>
    </row>
    <row r="7" spans="2:13" x14ac:dyDescent="0.25">
      <c r="B7" s="35" t="s">
        <v>13</v>
      </c>
      <c r="C7" s="31">
        <v>10</v>
      </c>
      <c r="D7" s="20">
        <v>11.027799999999999</v>
      </c>
      <c r="E7" s="47">
        <v>10.0556</v>
      </c>
      <c r="F7" s="31">
        <v>9.6388999999999996</v>
      </c>
      <c r="G7" s="2">
        <v>10.125</v>
      </c>
      <c r="H7" s="2">
        <v>10</v>
      </c>
      <c r="I7" s="2">
        <v>11.3611</v>
      </c>
      <c r="J7" s="2">
        <v>10.8056</v>
      </c>
      <c r="K7" s="20">
        <v>10.833299999999999</v>
      </c>
      <c r="L7" s="47">
        <v>15</v>
      </c>
      <c r="M7" s="47">
        <v>11</v>
      </c>
    </row>
    <row r="8" spans="2:13" x14ac:dyDescent="0.25">
      <c r="B8" s="35" t="s">
        <v>14</v>
      </c>
      <c r="C8" s="31">
        <v>12.1111</v>
      </c>
      <c r="D8" s="20">
        <v>9.8332999999999995</v>
      </c>
      <c r="E8" s="47">
        <v>9.3056000000000001</v>
      </c>
      <c r="F8" s="31">
        <v>11.6111</v>
      </c>
      <c r="G8" s="2">
        <v>7.3888999999999996</v>
      </c>
      <c r="H8" s="2">
        <v>11.347200000000001</v>
      </c>
      <c r="I8" s="2">
        <v>10.166700000000001</v>
      </c>
      <c r="J8" s="2">
        <v>11.277799999999999</v>
      </c>
      <c r="K8" s="20">
        <v>11.25</v>
      </c>
      <c r="L8" s="47">
        <v>9.9443999999999999</v>
      </c>
      <c r="M8" s="47">
        <v>8.2222000000000008</v>
      </c>
    </row>
    <row r="9" spans="2:13" x14ac:dyDescent="0.25">
      <c r="B9" s="35" t="s">
        <v>15</v>
      </c>
      <c r="C9" s="31">
        <v>14.0556</v>
      </c>
      <c r="D9" s="20">
        <v>14.3611</v>
      </c>
      <c r="E9" s="47">
        <v>14.6944</v>
      </c>
      <c r="F9" s="31">
        <v>14.166700000000001</v>
      </c>
      <c r="G9" s="2">
        <v>13.8056</v>
      </c>
      <c r="H9" s="2">
        <v>13.972200000000001</v>
      </c>
      <c r="I9" s="2">
        <v>14.25</v>
      </c>
      <c r="J9" s="2">
        <v>13.833299999999999</v>
      </c>
      <c r="K9" s="20">
        <v>13.833299999999999</v>
      </c>
      <c r="L9" s="47">
        <v>4.1528</v>
      </c>
      <c r="M9" s="47">
        <v>6.6388999999999996</v>
      </c>
    </row>
    <row r="10" spans="2:13" x14ac:dyDescent="0.25">
      <c r="B10" s="35" t="s">
        <v>16</v>
      </c>
      <c r="C10" s="31">
        <v>3.4722</v>
      </c>
      <c r="D10" s="20">
        <v>5.1943999999999999</v>
      </c>
      <c r="E10" s="49">
        <v>4.25</v>
      </c>
      <c r="F10" s="31">
        <v>3.4443999999999999</v>
      </c>
      <c r="G10" s="2">
        <v>5.5833000000000004</v>
      </c>
      <c r="H10" s="4">
        <v>3.25</v>
      </c>
      <c r="I10" s="4">
        <v>4.1388999999999996</v>
      </c>
      <c r="J10" s="4">
        <v>3.1943999999999999</v>
      </c>
      <c r="K10" s="22">
        <v>3.1943999999999999</v>
      </c>
      <c r="L10" s="47">
        <v>13.8889</v>
      </c>
      <c r="M10" s="47">
        <v>10.6111</v>
      </c>
    </row>
    <row r="11" spans="2:13" x14ac:dyDescent="0.25">
      <c r="B11" s="35" t="s">
        <v>17</v>
      </c>
      <c r="C11" s="31">
        <v>4.5693999999999999</v>
      </c>
      <c r="D11" s="20">
        <v>5.5693999999999999</v>
      </c>
      <c r="E11" s="47">
        <v>5.1257999999999999</v>
      </c>
      <c r="F11" s="31">
        <v>4.5138999999999996</v>
      </c>
      <c r="G11" s="2">
        <v>5.5138999999999996</v>
      </c>
      <c r="H11" s="2">
        <v>4.2638999999999996</v>
      </c>
      <c r="I11" s="3">
        <v>4.5693999999999999</v>
      </c>
      <c r="J11" s="2">
        <v>4.375</v>
      </c>
      <c r="K11" s="20">
        <v>4.4028</v>
      </c>
      <c r="L11" s="47">
        <v>13</v>
      </c>
      <c r="M11" s="47">
        <v>6.6943999999999999</v>
      </c>
    </row>
    <row r="12" spans="2:13" x14ac:dyDescent="0.25">
      <c r="B12" s="35" t="s">
        <v>18</v>
      </c>
      <c r="C12" s="31">
        <v>6.9166999999999996</v>
      </c>
      <c r="D12" s="20">
        <v>6.3333000000000004</v>
      </c>
      <c r="E12" s="47">
        <v>6.6111000000000004</v>
      </c>
      <c r="F12" s="31">
        <v>6.9443999999999999</v>
      </c>
      <c r="G12" s="2">
        <v>8.5972000000000008</v>
      </c>
      <c r="H12" s="2">
        <v>7.3056000000000001</v>
      </c>
      <c r="I12" s="2">
        <v>6.75</v>
      </c>
      <c r="J12" s="2">
        <v>6.8056000000000001</v>
      </c>
      <c r="K12" s="20">
        <v>6.8056000000000001</v>
      </c>
      <c r="L12" s="47">
        <v>3.7361</v>
      </c>
      <c r="M12" s="47">
        <v>11.958299999999999</v>
      </c>
    </row>
    <row r="13" spans="2:13" x14ac:dyDescent="0.25">
      <c r="B13" s="35" t="s">
        <v>19</v>
      </c>
      <c r="C13" s="31">
        <v>10.8889</v>
      </c>
      <c r="D13" s="20">
        <v>11.222200000000001</v>
      </c>
      <c r="E13" s="47">
        <v>11.666700000000001</v>
      </c>
      <c r="F13" s="31">
        <v>10.972200000000001</v>
      </c>
      <c r="G13" s="2">
        <v>12.1389</v>
      </c>
      <c r="H13" s="2">
        <v>10.916700000000001</v>
      </c>
      <c r="I13" s="2">
        <v>11.1944</v>
      </c>
      <c r="J13" s="2">
        <v>10.8889</v>
      </c>
      <c r="K13" s="20">
        <v>10.8889</v>
      </c>
      <c r="L13" s="47">
        <v>8.7917000000000005</v>
      </c>
      <c r="M13" s="47">
        <v>9.9167000000000005</v>
      </c>
    </row>
    <row r="14" spans="2:13" x14ac:dyDescent="0.25">
      <c r="B14" s="35" t="s">
        <v>20</v>
      </c>
      <c r="C14" s="31">
        <v>8.9722000000000008</v>
      </c>
      <c r="D14" s="20">
        <v>9.1111000000000004</v>
      </c>
      <c r="E14" s="47">
        <v>8.1388999999999996</v>
      </c>
      <c r="F14" s="31">
        <v>9.0556000000000001</v>
      </c>
      <c r="G14" s="2">
        <v>10.1389</v>
      </c>
      <c r="H14" s="2">
        <v>8.4722000000000008</v>
      </c>
      <c r="I14" s="2">
        <v>9.2222000000000008</v>
      </c>
      <c r="J14" s="2">
        <v>8.4167000000000005</v>
      </c>
      <c r="K14" s="20">
        <v>8.4167000000000005</v>
      </c>
      <c r="L14" s="48">
        <v>16</v>
      </c>
      <c r="M14" s="106">
        <v>11.527799999999999</v>
      </c>
    </row>
    <row r="15" spans="2:13" x14ac:dyDescent="0.25">
      <c r="B15" s="35" t="s">
        <v>21</v>
      </c>
      <c r="C15" s="31">
        <v>6.9166999999999996</v>
      </c>
      <c r="D15" s="20">
        <v>6.3333000000000004</v>
      </c>
      <c r="E15" s="47">
        <v>6.6111000000000004</v>
      </c>
      <c r="F15" s="31">
        <v>6.9443999999999999</v>
      </c>
      <c r="G15" s="2">
        <v>8.5972000000000008</v>
      </c>
      <c r="H15" s="2">
        <v>7.3056000000000001</v>
      </c>
      <c r="I15" s="2">
        <v>6.75</v>
      </c>
      <c r="J15" s="2">
        <v>6.8056000000000001</v>
      </c>
      <c r="K15" s="20">
        <v>6.8056000000000001</v>
      </c>
      <c r="L15" s="47">
        <v>5.4861000000000004</v>
      </c>
      <c r="M15" s="47">
        <v>11.5694</v>
      </c>
    </row>
    <row r="16" spans="2:13" x14ac:dyDescent="0.25">
      <c r="B16" s="35" t="s">
        <v>22</v>
      </c>
      <c r="C16" s="32">
        <v>15.972200000000001</v>
      </c>
      <c r="D16" s="21">
        <v>15.972200000000001</v>
      </c>
      <c r="E16" s="48">
        <v>16</v>
      </c>
      <c r="F16" s="32">
        <v>16</v>
      </c>
      <c r="G16" s="5">
        <v>15.652799999999999</v>
      </c>
      <c r="H16" s="5">
        <v>15.916700000000001</v>
      </c>
      <c r="I16" s="5">
        <v>15.972200000000001</v>
      </c>
      <c r="J16" s="5">
        <v>15.972200000000001</v>
      </c>
      <c r="K16" s="21">
        <v>15.972200000000001</v>
      </c>
      <c r="L16" s="49">
        <v>1.7639</v>
      </c>
      <c r="M16" s="107">
        <v>17.555599999999998</v>
      </c>
    </row>
    <row r="17" spans="2:13" x14ac:dyDescent="0.25">
      <c r="B17" s="35" t="s">
        <v>25</v>
      </c>
      <c r="C17" s="31">
        <v>6.1111000000000004</v>
      </c>
      <c r="D17" s="20">
        <v>5.3888999999999996</v>
      </c>
      <c r="E17" s="47">
        <v>6.2222</v>
      </c>
      <c r="F17" s="31">
        <v>6.0833000000000004</v>
      </c>
      <c r="G17" s="2">
        <v>7.7083000000000004</v>
      </c>
      <c r="H17" s="2">
        <v>6.4722</v>
      </c>
      <c r="I17" s="2">
        <v>6.0278</v>
      </c>
      <c r="J17" s="2">
        <v>6.1388999999999996</v>
      </c>
      <c r="K17" s="20">
        <v>6.1388999999999996</v>
      </c>
      <c r="L17" s="47">
        <v>5.1528</v>
      </c>
      <c r="M17" s="47">
        <v>7.75</v>
      </c>
    </row>
    <row r="18" spans="2:13" x14ac:dyDescent="0.25">
      <c r="B18" s="35" t="s">
        <v>26</v>
      </c>
      <c r="C18" s="31">
        <v>6.1806000000000001</v>
      </c>
      <c r="D18" s="20">
        <v>5.5693999999999999</v>
      </c>
      <c r="E18" s="47">
        <v>6.2083000000000004</v>
      </c>
      <c r="F18" s="31">
        <v>6.1528</v>
      </c>
      <c r="G18" s="2">
        <v>7.4166999999999996</v>
      </c>
      <c r="H18" s="2">
        <v>6.4861000000000004</v>
      </c>
      <c r="I18" s="2">
        <v>5.9306000000000001</v>
      </c>
      <c r="J18" s="2">
        <v>6.3193999999999999</v>
      </c>
      <c r="K18" s="20">
        <v>6.3193999999999999</v>
      </c>
      <c r="L18" s="47">
        <v>6.4443999999999999</v>
      </c>
      <c r="M18" s="47">
        <v>8.9167000000000005</v>
      </c>
    </row>
    <row r="19" spans="2:13" x14ac:dyDescent="0.25">
      <c r="B19" s="35" t="s">
        <v>27</v>
      </c>
      <c r="C19" s="33">
        <v>3.4306000000000001</v>
      </c>
      <c r="D19" s="20">
        <v>6.4306000000000001</v>
      </c>
      <c r="E19" s="47">
        <v>4.7361000000000004</v>
      </c>
      <c r="F19" s="33">
        <v>3.3472</v>
      </c>
      <c r="G19" s="2">
        <v>5.1388999999999996</v>
      </c>
      <c r="H19" s="2">
        <v>3.3472</v>
      </c>
      <c r="I19" s="2">
        <v>4.5416999999999996</v>
      </c>
      <c r="J19" s="2">
        <v>4.0416999999999996</v>
      </c>
      <c r="K19" s="20">
        <v>4.0416999999999996</v>
      </c>
      <c r="L19" s="47">
        <v>11.416700000000001</v>
      </c>
      <c r="M19" s="47">
        <v>9.9443999999999999</v>
      </c>
    </row>
    <row r="20" spans="2:13" ht="15.75" thickBot="1" x14ac:dyDescent="0.3">
      <c r="B20" s="36" t="s">
        <v>28</v>
      </c>
      <c r="C20" s="52">
        <v>6.5278</v>
      </c>
      <c r="D20" s="108">
        <v>4.5</v>
      </c>
      <c r="E20" s="50">
        <v>7.4443999999999999</v>
      </c>
      <c r="F20" s="52">
        <v>7.25</v>
      </c>
      <c r="G20" s="109">
        <v>1.8193999999999999</v>
      </c>
      <c r="H20" s="8">
        <v>7.1806000000000001</v>
      </c>
      <c r="I20" s="8">
        <v>6.1111000000000004</v>
      </c>
      <c r="J20" s="8">
        <v>7.9166999999999996</v>
      </c>
      <c r="K20" s="110">
        <v>7.8888999999999996</v>
      </c>
      <c r="L20" s="50">
        <v>11.6111</v>
      </c>
      <c r="M20" s="104">
        <v>3.3332999999999999</v>
      </c>
    </row>
    <row r="22" spans="2:13" x14ac:dyDescent="0.25">
      <c r="B22" s="1" t="s">
        <v>0</v>
      </c>
      <c r="C22" s="1" t="s">
        <v>62</v>
      </c>
      <c r="D22" s="102" t="s">
        <v>64</v>
      </c>
    </row>
    <row r="23" spans="2:13" x14ac:dyDescent="0.25">
      <c r="B23" s="1" t="s">
        <v>11</v>
      </c>
      <c r="C23" s="2">
        <f>SUM(C5:K5) / 9</f>
        <v>12.040133333333333</v>
      </c>
      <c r="D23" s="2">
        <v>3.6943999999999999</v>
      </c>
    </row>
    <row r="24" spans="2:13" x14ac:dyDescent="0.25">
      <c r="B24" s="1" t="s">
        <v>12</v>
      </c>
      <c r="C24" s="2">
        <f>SUM(C6:K6) / 9</f>
        <v>7.0015555555555551</v>
      </c>
      <c r="D24" s="2">
        <v>6.3056000000000001</v>
      </c>
    </row>
    <row r="25" spans="2:13" x14ac:dyDescent="0.25">
      <c r="B25" s="1" t="s">
        <v>13</v>
      </c>
      <c r="C25" s="2">
        <f>SUM(C7:K7) / 9</f>
        <v>10.427477777777776</v>
      </c>
      <c r="D25" s="2">
        <v>11</v>
      </c>
    </row>
    <row r="26" spans="2:13" x14ac:dyDescent="0.25">
      <c r="B26" s="1" t="s">
        <v>14</v>
      </c>
      <c r="C26" s="2">
        <f t="shared" ref="C26:C38" si="0">SUM(C8:K8) / 9</f>
        <v>10.476855555555556</v>
      </c>
      <c r="D26" s="2">
        <v>8.2222000000000008</v>
      </c>
    </row>
    <row r="27" spans="2:13" x14ac:dyDescent="0.25">
      <c r="B27" s="1" t="s">
        <v>15</v>
      </c>
      <c r="C27" s="2">
        <f t="shared" si="0"/>
        <v>14.108022222222221</v>
      </c>
      <c r="D27" s="2">
        <v>6.6388999999999996</v>
      </c>
    </row>
    <row r="28" spans="2:13" x14ac:dyDescent="0.25">
      <c r="B28" s="1" t="s">
        <v>16</v>
      </c>
      <c r="C28" s="4">
        <f t="shared" si="0"/>
        <v>3.9691111111111113</v>
      </c>
      <c r="D28" s="2">
        <v>10.6111</v>
      </c>
    </row>
    <row r="29" spans="2:13" x14ac:dyDescent="0.25">
      <c r="B29" s="1" t="s">
        <v>17</v>
      </c>
      <c r="C29" s="2">
        <f t="shared" si="0"/>
        <v>4.7670555555555554</v>
      </c>
      <c r="D29" s="2">
        <v>6.6943999999999999</v>
      </c>
    </row>
    <row r="30" spans="2:13" x14ac:dyDescent="0.25">
      <c r="B30" s="1" t="s">
        <v>18</v>
      </c>
      <c r="C30" s="2">
        <f t="shared" si="0"/>
        <v>7.0077222222222222</v>
      </c>
      <c r="D30" s="2">
        <v>11.958299999999999</v>
      </c>
    </row>
    <row r="31" spans="2:13" x14ac:dyDescent="0.25">
      <c r="B31" s="1" t="s">
        <v>19</v>
      </c>
      <c r="C31" s="2">
        <f t="shared" si="0"/>
        <v>11.197533333333334</v>
      </c>
      <c r="D31" s="2">
        <v>9.9167000000000005</v>
      </c>
    </row>
    <row r="32" spans="2:13" x14ac:dyDescent="0.25">
      <c r="B32" s="1" t="s">
        <v>20</v>
      </c>
      <c r="C32" s="2">
        <f t="shared" si="0"/>
        <v>8.8827222222222222</v>
      </c>
      <c r="D32" s="2">
        <v>11.527799999999999</v>
      </c>
    </row>
    <row r="33" spans="2:4" x14ac:dyDescent="0.25">
      <c r="B33" s="1" t="s">
        <v>21</v>
      </c>
      <c r="C33" s="2">
        <f t="shared" si="0"/>
        <v>7.0077222222222222</v>
      </c>
      <c r="D33" s="2">
        <v>11.5694</v>
      </c>
    </row>
    <row r="34" spans="2:4" x14ac:dyDescent="0.25">
      <c r="B34" s="1" t="s">
        <v>22</v>
      </c>
      <c r="C34" s="5">
        <f t="shared" si="0"/>
        <v>15.936722222222222</v>
      </c>
      <c r="D34" s="5">
        <v>17.555599999999998</v>
      </c>
    </row>
    <row r="35" spans="2:4" x14ac:dyDescent="0.25">
      <c r="B35" s="1" t="s">
        <v>25</v>
      </c>
      <c r="C35" s="2">
        <f t="shared" si="0"/>
        <v>6.2546222222222223</v>
      </c>
      <c r="D35" s="2">
        <v>7.75</v>
      </c>
    </row>
    <row r="36" spans="2:4" x14ac:dyDescent="0.25">
      <c r="B36" s="1" t="s">
        <v>26</v>
      </c>
      <c r="C36" s="2">
        <f t="shared" si="0"/>
        <v>6.2870333333333335</v>
      </c>
      <c r="D36" s="2">
        <v>8.9167000000000005</v>
      </c>
    </row>
    <row r="37" spans="2:4" x14ac:dyDescent="0.25">
      <c r="B37" s="1" t="s">
        <v>27</v>
      </c>
      <c r="C37" s="2">
        <f t="shared" si="0"/>
        <v>4.3395222222222225</v>
      </c>
      <c r="D37" s="2">
        <v>9.9443999999999999</v>
      </c>
    </row>
    <row r="38" spans="2:4" x14ac:dyDescent="0.25">
      <c r="B38" s="1" t="s">
        <v>28</v>
      </c>
      <c r="C38" s="2">
        <f t="shared" si="0"/>
        <v>6.2932111111111109</v>
      </c>
      <c r="D38" s="4">
        <v>3.3332999999999999</v>
      </c>
    </row>
  </sheetData>
  <mergeCells count="8">
    <mergeCell ref="M2:M4"/>
    <mergeCell ref="F3:H3"/>
    <mergeCell ref="I3:K3"/>
    <mergeCell ref="B2:B4"/>
    <mergeCell ref="C2:D3"/>
    <mergeCell ref="E2:E3"/>
    <mergeCell ref="F2:K2"/>
    <mergeCell ref="L2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Ranking_Friedman</vt:lpstr>
      <vt:lpstr>Gráfico_Radar</vt:lpstr>
      <vt:lpstr>Ranking_Cohesión</vt:lpstr>
      <vt:lpstr>Ranking_Separación</vt:lpstr>
      <vt:lpstr>Ranking_Combinadas</vt:lpstr>
      <vt:lpstr>Ranking_Tiempo</vt:lpstr>
      <vt:lpstr>Ranking_Costo</vt:lpstr>
      <vt:lpstr>Metricas_vs_Costo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Ramos</dc:creator>
  <cp:lastModifiedBy>Eric Ramos</cp:lastModifiedBy>
  <dcterms:created xsi:type="dcterms:W3CDTF">2015-06-05T18:17:20Z</dcterms:created>
  <dcterms:modified xsi:type="dcterms:W3CDTF">2025-06-17T15:11:36Z</dcterms:modified>
</cp:coreProperties>
</file>